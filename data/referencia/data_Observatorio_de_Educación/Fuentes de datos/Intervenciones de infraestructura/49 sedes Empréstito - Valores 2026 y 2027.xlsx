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perez\Downloads\"/>
    </mc:Choice>
  </mc:AlternateContent>
  <bookViews>
    <workbookView xWindow="0" yWindow="0" windowWidth="20490" windowHeight="7530"/>
  </bookViews>
  <sheets>
    <sheet name="Hoja1" sheetId="1" r:id="rId1"/>
  </sheets>
  <definedNames>
    <definedName name="_xlnm._FilterDatabase" localSheetId="0" hidden="1">Hoja1!$C$10:$D$66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67" i="1" l="1"/>
  <c r="T65" i="1"/>
  <c r="T63" i="1"/>
  <c r="T61" i="1"/>
  <c r="T38" i="1"/>
  <c r="S63" i="1"/>
  <c r="S61" i="1"/>
  <c r="S38" i="1"/>
  <c r="Q37" i="1" l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11" i="1"/>
  <c r="L11" i="1"/>
  <c r="N61" i="1" l="1"/>
  <c r="M61" i="1"/>
  <c r="L61" i="1"/>
  <c r="K61" i="1"/>
  <c r="J61" i="1"/>
  <c r="I61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39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11" i="1"/>
  <c r="M38" i="1" l="1"/>
  <c r="M62" i="1" l="1"/>
  <c r="Q4" i="1" s="1"/>
  <c r="K38" i="1" l="1"/>
  <c r="F61" i="1"/>
  <c r="M5" i="1" s="1"/>
  <c r="G61" i="1"/>
  <c r="F38" i="1"/>
  <c r="L5" i="1" s="1"/>
  <c r="G38" i="1"/>
  <c r="I38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39" i="1"/>
  <c r="K5" i="1"/>
  <c r="J6" i="1" s="1"/>
  <c r="J7" i="1" s="1"/>
  <c r="I62" i="1" l="1"/>
  <c r="H61" i="1"/>
  <c r="N5" i="1"/>
  <c r="M6" i="1" s="1"/>
  <c r="M7" i="1" s="1"/>
  <c r="K62" i="1"/>
  <c r="I6" i="1"/>
  <c r="I7" i="1" s="1"/>
  <c r="L6" i="1" l="1"/>
  <c r="K7" i="1"/>
  <c r="L7" i="1" l="1"/>
  <c r="N7" i="1" s="1"/>
  <c r="H22" i="1" l="1"/>
  <c r="H37" i="1"/>
  <c r="H15" i="1"/>
  <c r="H26" i="1" l="1"/>
  <c r="H24" i="1"/>
  <c r="H23" i="1"/>
  <c r="H35" i="1"/>
  <c r="H17" i="1"/>
  <c r="H34" i="1"/>
  <c r="H27" i="1"/>
  <c r="H13" i="1"/>
  <c r="H33" i="1"/>
  <c r="H12" i="1"/>
  <c r="H31" i="1"/>
  <c r="H25" i="1"/>
  <c r="H21" i="1"/>
  <c r="H14" i="1"/>
  <c r="H29" i="1"/>
  <c r="H20" i="1"/>
  <c r="H19" i="1"/>
  <c r="H18" i="1"/>
  <c r="H16" i="1"/>
  <c r="H36" i="1"/>
  <c r="H28" i="1"/>
  <c r="H30" i="1"/>
  <c r="H32" i="1"/>
  <c r="E61" i="1" l="1"/>
  <c r="R40" i="1" l="1"/>
  <c r="J40" i="1" s="1"/>
  <c r="R44" i="1"/>
  <c r="J44" i="1" s="1"/>
  <c r="R48" i="1"/>
  <c r="J48" i="1" s="1"/>
  <c r="R52" i="1"/>
  <c r="J52" i="1" s="1"/>
  <c r="R56" i="1"/>
  <c r="J56" i="1" s="1"/>
  <c r="R60" i="1"/>
  <c r="J60" i="1" s="1"/>
  <c r="R47" i="1"/>
  <c r="J47" i="1" s="1"/>
  <c r="R55" i="1"/>
  <c r="J55" i="1" s="1"/>
  <c r="R41" i="1"/>
  <c r="J41" i="1" s="1"/>
  <c r="R45" i="1"/>
  <c r="J45" i="1" s="1"/>
  <c r="R49" i="1"/>
  <c r="J49" i="1" s="1"/>
  <c r="R53" i="1"/>
  <c r="J53" i="1" s="1"/>
  <c r="R57" i="1"/>
  <c r="J57" i="1" s="1"/>
  <c r="R39" i="1"/>
  <c r="J39" i="1" s="1"/>
  <c r="N39" i="1" s="1"/>
  <c r="O39" i="1" s="1"/>
  <c r="R59" i="1"/>
  <c r="J59" i="1" s="1"/>
  <c r="R42" i="1"/>
  <c r="J42" i="1" s="1"/>
  <c r="R46" i="1"/>
  <c r="J46" i="1" s="1"/>
  <c r="R50" i="1"/>
  <c r="J50" i="1" s="1"/>
  <c r="R54" i="1"/>
  <c r="J54" i="1" s="1"/>
  <c r="R58" i="1"/>
  <c r="J58" i="1" s="1"/>
  <c r="R43" i="1"/>
  <c r="J43" i="1" s="1"/>
  <c r="R51" i="1"/>
  <c r="J51" i="1" s="1"/>
  <c r="F62" i="1"/>
  <c r="L58" i="1" l="1"/>
  <c r="N58" i="1"/>
  <c r="O58" i="1" s="1"/>
  <c r="L42" i="1"/>
  <c r="N42" i="1"/>
  <c r="O42" i="1" s="1"/>
  <c r="L53" i="1"/>
  <c r="N53" i="1"/>
  <c r="O53" i="1" s="1"/>
  <c r="L55" i="1"/>
  <c r="N55" i="1"/>
  <c r="O55" i="1" s="1"/>
  <c r="L52" i="1"/>
  <c r="N52" i="1"/>
  <c r="O52" i="1" s="1"/>
  <c r="L54" i="1"/>
  <c r="N54" i="1"/>
  <c r="O54" i="1" s="1"/>
  <c r="L59" i="1"/>
  <c r="N59" i="1"/>
  <c r="O59" i="1" s="1"/>
  <c r="L49" i="1"/>
  <c r="N49" i="1"/>
  <c r="O49" i="1" s="1"/>
  <c r="L47" i="1"/>
  <c r="N47" i="1"/>
  <c r="O47" i="1" s="1"/>
  <c r="L48" i="1"/>
  <c r="N48" i="1"/>
  <c r="O48" i="1" s="1"/>
  <c r="L51" i="1"/>
  <c r="N51" i="1"/>
  <c r="O51" i="1" s="1"/>
  <c r="L50" i="1"/>
  <c r="N50" i="1"/>
  <c r="O50" i="1" s="1"/>
  <c r="L45" i="1"/>
  <c r="N45" i="1"/>
  <c r="O45" i="1" s="1"/>
  <c r="L60" i="1"/>
  <c r="N60" i="1"/>
  <c r="O60" i="1" s="1"/>
  <c r="L44" i="1"/>
  <c r="N44" i="1"/>
  <c r="O44" i="1" s="1"/>
  <c r="L43" i="1"/>
  <c r="N43" i="1"/>
  <c r="O43" i="1" s="1"/>
  <c r="L46" i="1"/>
  <c r="N46" i="1"/>
  <c r="O46" i="1" s="1"/>
  <c r="L57" i="1"/>
  <c r="N57" i="1"/>
  <c r="O57" i="1" s="1"/>
  <c r="L41" i="1"/>
  <c r="N41" i="1"/>
  <c r="L56" i="1"/>
  <c r="N56" i="1"/>
  <c r="O56" i="1" s="1"/>
  <c r="L40" i="1"/>
  <c r="N40" i="1"/>
  <c r="O40" i="1" s="1"/>
  <c r="L39" i="1"/>
  <c r="E38" i="1"/>
  <c r="G62" i="1"/>
  <c r="H11" i="1"/>
  <c r="H38" i="1" s="1"/>
  <c r="P39" i="1" l="1"/>
  <c r="P57" i="1"/>
  <c r="P50" i="1"/>
  <c r="P49" i="1"/>
  <c r="P55" i="1"/>
  <c r="P42" i="1"/>
  <c r="P56" i="1"/>
  <c r="P43" i="1"/>
  <c r="P60" i="1"/>
  <c r="P48" i="1"/>
  <c r="P54" i="1"/>
  <c r="P40" i="1"/>
  <c r="P46" i="1"/>
  <c r="P44" i="1"/>
  <c r="P45" i="1"/>
  <c r="P51" i="1"/>
  <c r="P47" i="1"/>
  <c r="P59" i="1"/>
  <c r="P52" i="1"/>
  <c r="P53" i="1"/>
  <c r="P58" i="1"/>
  <c r="O41" i="1"/>
  <c r="O61" i="1" s="1"/>
  <c r="E62" i="1"/>
  <c r="R14" i="1"/>
  <c r="J14" i="1" s="1"/>
  <c r="R18" i="1"/>
  <c r="J18" i="1" s="1"/>
  <c r="R22" i="1"/>
  <c r="J22" i="1" s="1"/>
  <c r="R26" i="1"/>
  <c r="J26" i="1" s="1"/>
  <c r="R30" i="1"/>
  <c r="J30" i="1" s="1"/>
  <c r="R34" i="1"/>
  <c r="J34" i="1" s="1"/>
  <c r="R11" i="1"/>
  <c r="R12" i="1"/>
  <c r="J12" i="1" s="1"/>
  <c r="R24" i="1"/>
  <c r="J24" i="1" s="1"/>
  <c r="R32" i="1"/>
  <c r="J32" i="1" s="1"/>
  <c r="R17" i="1"/>
  <c r="J17" i="1" s="1"/>
  <c r="R25" i="1"/>
  <c r="J25" i="1" s="1"/>
  <c r="R33" i="1"/>
  <c r="J33" i="1" s="1"/>
  <c r="R15" i="1"/>
  <c r="J15" i="1" s="1"/>
  <c r="R19" i="1"/>
  <c r="J19" i="1" s="1"/>
  <c r="R23" i="1"/>
  <c r="J23" i="1" s="1"/>
  <c r="R27" i="1"/>
  <c r="J27" i="1" s="1"/>
  <c r="R31" i="1"/>
  <c r="J31" i="1" s="1"/>
  <c r="R35" i="1"/>
  <c r="J35" i="1" s="1"/>
  <c r="R16" i="1"/>
  <c r="J16" i="1" s="1"/>
  <c r="R20" i="1"/>
  <c r="J20" i="1" s="1"/>
  <c r="R28" i="1"/>
  <c r="J28" i="1" s="1"/>
  <c r="R36" i="1"/>
  <c r="J36" i="1" s="1"/>
  <c r="R13" i="1"/>
  <c r="J13" i="1" s="1"/>
  <c r="R21" i="1"/>
  <c r="J21" i="1" s="1"/>
  <c r="R29" i="1"/>
  <c r="J29" i="1" s="1"/>
  <c r="R37" i="1"/>
  <c r="J37" i="1" s="1"/>
  <c r="H62" i="1"/>
  <c r="P41" i="1" l="1"/>
  <c r="P61" i="1" s="1"/>
  <c r="N11" i="1"/>
  <c r="O11" i="1" s="1"/>
  <c r="J11" i="1"/>
  <c r="L21" i="1"/>
  <c r="N21" i="1"/>
  <c r="O21" i="1" s="1"/>
  <c r="L27" i="1"/>
  <c r="N27" i="1"/>
  <c r="O27" i="1" s="1"/>
  <c r="L30" i="1"/>
  <c r="N30" i="1"/>
  <c r="O30" i="1" s="1"/>
  <c r="L14" i="1"/>
  <c r="N14" i="1"/>
  <c r="O14" i="1" s="1"/>
  <c r="L13" i="1"/>
  <c r="N13" i="1"/>
  <c r="O13" i="1" s="1"/>
  <c r="L16" i="1"/>
  <c r="N16" i="1"/>
  <c r="O16" i="1" s="1"/>
  <c r="L25" i="1"/>
  <c r="N25" i="1"/>
  <c r="O25" i="1" s="1"/>
  <c r="L26" i="1"/>
  <c r="N26" i="1"/>
  <c r="O26" i="1" s="1"/>
  <c r="L36" i="1"/>
  <c r="N36" i="1"/>
  <c r="O36" i="1" s="1"/>
  <c r="L22" i="1"/>
  <c r="N22" i="1"/>
  <c r="O22" i="1" s="1"/>
  <c r="L20" i="1"/>
  <c r="N20" i="1"/>
  <c r="O20" i="1" s="1"/>
  <c r="L33" i="1"/>
  <c r="N33" i="1"/>
  <c r="O33" i="1" s="1"/>
  <c r="L24" i="1"/>
  <c r="N24" i="1"/>
  <c r="O24" i="1" s="1"/>
  <c r="L23" i="1"/>
  <c r="N23" i="1"/>
  <c r="O23" i="1" s="1"/>
  <c r="L12" i="1"/>
  <c r="N12" i="1"/>
  <c r="O12" i="1" s="1"/>
  <c r="L37" i="1"/>
  <c r="N37" i="1"/>
  <c r="O37" i="1" s="1"/>
  <c r="L35" i="1"/>
  <c r="N35" i="1"/>
  <c r="O35" i="1" s="1"/>
  <c r="L19" i="1"/>
  <c r="N19" i="1"/>
  <c r="O19" i="1" s="1"/>
  <c r="L17" i="1"/>
  <c r="N17" i="1"/>
  <c r="O17" i="1" s="1"/>
  <c r="L29" i="1"/>
  <c r="N29" i="1"/>
  <c r="O29" i="1" s="1"/>
  <c r="L28" i="1"/>
  <c r="N28" i="1"/>
  <c r="O28" i="1" s="1"/>
  <c r="L31" i="1"/>
  <c r="N31" i="1"/>
  <c r="O31" i="1" s="1"/>
  <c r="L15" i="1"/>
  <c r="N15" i="1"/>
  <c r="L32" i="1"/>
  <c r="N32" i="1"/>
  <c r="O32" i="1" s="1"/>
  <c r="L34" i="1"/>
  <c r="N34" i="1"/>
  <c r="O34" i="1" s="1"/>
  <c r="L18" i="1"/>
  <c r="N18" i="1"/>
  <c r="O18" i="1" s="1"/>
  <c r="J38" i="1"/>
  <c r="J62" i="1" s="1"/>
  <c r="P11" i="1" l="1"/>
  <c r="P18" i="1"/>
  <c r="P32" i="1"/>
  <c r="P31" i="1"/>
  <c r="P29" i="1"/>
  <c r="P19" i="1"/>
  <c r="P37" i="1"/>
  <c r="P23" i="1"/>
  <c r="P33" i="1"/>
  <c r="P22" i="1"/>
  <c r="P26" i="1"/>
  <c r="P16" i="1"/>
  <c r="P14" i="1"/>
  <c r="P27" i="1"/>
  <c r="P34" i="1"/>
  <c r="P17" i="1"/>
  <c r="P12" i="1"/>
  <c r="P24" i="1"/>
  <c r="P36" i="1"/>
  <c r="P25" i="1"/>
  <c r="P13" i="1"/>
  <c r="P30" i="1"/>
  <c r="P21" i="1"/>
  <c r="P28" i="1"/>
  <c r="P35" i="1"/>
  <c r="P20" i="1"/>
  <c r="N38" i="1"/>
  <c r="N62" i="1" s="1"/>
  <c r="Q5" i="1" s="1"/>
  <c r="Q6" i="1" s="1"/>
  <c r="Q8" i="1" s="1"/>
  <c r="O15" i="1"/>
  <c r="O38" i="1" s="1"/>
  <c r="O62" i="1" s="1"/>
  <c r="L38" i="1"/>
  <c r="L62" i="1" s="1"/>
  <c r="P15" i="1" l="1"/>
  <c r="P38" i="1" s="1"/>
  <c r="P62" i="1" s="1"/>
</calcChain>
</file>

<file path=xl/sharedStrings.xml><?xml version="1.0" encoding="utf-8"?>
<sst xmlns="http://schemas.openxmlformats.org/spreadsheetml/2006/main" count="140" uniqueCount="83">
  <si>
    <t>COMUNA</t>
  </si>
  <si>
    <t>INSTITUCIÓN EDUCATIVA</t>
  </si>
  <si>
    <t>Normal Superior Santiago de Cali - Sede Joaquín de Caicedo y Cuero</t>
  </si>
  <si>
    <t>Normal Superior Santiago de Cali - Sede Principal</t>
  </si>
  <si>
    <t>Villa del Sur - Sede Susana Vinasco</t>
  </si>
  <si>
    <t>Hernando Navia Varón – Sede Fray José Ignacio Ortiz</t>
  </si>
  <si>
    <t>Julio Caicedo y Téllez - Sede Esther Zorrilla</t>
  </si>
  <si>
    <t xml:space="preserve">Humberto Jordán Mazuera - Sede Villa Blanca </t>
  </si>
  <si>
    <t>Luz Haydee Guerrero - Sede Principal</t>
  </si>
  <si>
    <t>Bartolomé Loboguerrero - Sede Principal</t>
  </si>
  <si>
    <t>El Diamante - Sede Juan Pablo II</t>
  </si>
  <si>
    <t>Bartolomé Loboguerrero - Sede Olaya Herrera</t>
  </si>
  <si>
    <t>La Anunciación - Sede Principal</t>
  </si>
  <si>
    <t>Ciudad Córdoba – Sede Principal</t>
  </si>
  <si>
    <t>Rodrigo Lloreda Caicedo - Sede Primitivo Crespo</t>
  </si>
  <si>
    <t>Juan Pablo II - Sede Principal</t>
  </si>
  <si>
    <t>Álvaro Echeverry Perea – Sede Principal</t>
  </si>
  <si>
    <t>Liceo Departamental - Sede La Presentación</t>
  </si>
  <si>
    <t>Eustaquio Palacios - Sede Principal</t>
  </si>
  <si>
    <t>Eustaquio Palacios - Fray Cristóbal Torres</t>
  </si>
  <si>
    <t>Isaías Gamboa - Sede la Inmaculada</t>
  </si>
  <si>
    <t>61  La Elvira</t>
  </si>
  <si>
    <t>Francisco José Lloreda Mera – Sede Boyacá</t>
  </si>
  <si>
    <t>64  Montebello</t>
  </si>
  <si>
    <t>Montebello – Sede San Pedro Apóstol</t>
  </si>
  <si>
    <t>Montebello – Sede Principal</t>
  </si>
  <si>
    <t>60  RURAL</t>
  </si>
  <si>
    <t xml:space="preserve">Francisco José Lloreda Mesa - Sede Luis Fernando Lloreda </t>
  </si>
  <si>
    <t>56  RURAL</t>
  </si>
  <si>
    <t>Los Andes - Sede Francisco José de Caldas</t>
  </si>
  <si>
    <t>51  RURAL</t>
  </si>
  <si>
    <t>Hormiguero - Sede Pantano de Vargas</t>
  </si>
  <si>
    <t>55  RURAL</t>
  </si>
  <si>
    <t>Villa Carmelo - Sede Cacique Calarcá</t>
  </si>
  <si>
    <t xml:space="preserve">Villa Carmelo sede Nuestra Señora del Carmen </t>
  </si>
  <si>
    <t>Lote 1</t>
  </si>
  <si>
    <t>IETC Santa Cecilia – Sede Brisas de los Álamos</t>
  </si>
  <si>
    <t>IETC Santa Cecilia - Sede Alto Menga</t>
  </si>
  <si>
    <t>IETC Santa Cecilia – Sede República del Brasil</t>
  </si>
  <si>
    <t>Normal Farallones - Sede Martin Restrepo</t>
  </si>
  <si>
    <t>Santo Tomas - Sede CASD</t>
  </si>
  <si>
    <t>La Merced- Sede Principal</t>
  </si>
  <si>
    <t>Republica de Israel - Sede San José</t>
  </si>
  <si>
    <t>José Antonio Galán - Sede Principal</t>
  </si>
  <si>
    <t>La Merced – Sede San Vicente de Paul</t>
  </si>
  <si>
    <t>Simón Rodríguez - Sede principal</t>
  </si>
  <si>
    <t>Celmira Bueno - Sede Mariano Ospina Pérez</t>
  </si>
  <si>
    <t>Pedro Antonio Molina - Sede Principal</t>
  </si>
  <si>
    <t>INEM – Sede Pablo Emilio Caicedo</t>
  </si>
  <si>
    <t>INEM – Sede Cecilia Muñoz Ricaurte</t>
  </si>
  <si>
    <t>Juan Bautista de la Salle - Sede Manuel María Mallarino</t>
  </si>
  <si>
    <t>Alfonso López Pumarejo - Sede Purificación Trujillo</t>
  </si>
  <si>
    <t>Siete de Agosto – Sede Principal</t>
  </si>
  <si>
    <t>Santa Fe - Sede Manuel Rebolledo</t>
  </si>
  <si>
    <t>Juan de Ampudia - Sede Principal</t>
  </si>
  <si>
    <t>José Manuel Saavedra Galindo - Sede Principal</t>
  </si>
  <si>
    <t>José Manuel Saavedra Galindo – Sede Nuestra Señora de Fátima</t>
  </si>
  <si>
    <t>Antonio José Camacho - Sede Principal</t>
  </si>
  <si>
    <t>Lote 2</t>
  </si>
  <si>
    <t>TOTAL</t>
  </si>
  <si>
    <t>INTERVENTORIA</t>
  </si>
  <si>
    <t>LOTE</t>
  </si>
  <si>
    <t>ESTUDIOS Y DISEÑOS</t>
  </si>
  <si>
    <t>TOTAL LOTE 1</t>
  </si>
  <si>
    <t>TOTAL LOTE 2</t>
  </si>
  <si>
    <t>VALOR TOTAL ADJUDICADO</t>
  </si>
  <si>
    <t>GRAN TOTAL</t>
  </si>
  <si>
    <t>VALOR DISPONBLE 2026</t>
  </si>
  <si>
    <t>OBRA</t>
  </si>
  <si>
    <t>VALOR DISPONBLE 2027</t>
  </si>
  <si>
    <t>Obra</t>
  </si>
  <si>
    <t>Interventoria</t>
  </si>
  <si>
    <t>Lote 2 - Obra</t>
  </si>
  <si>
    <t>Lote 2 - Interventoria</t>
  </si>
  <si>
    <t>Lote 1 - Interventoria</t>
  </si>
  <si>
    <t>Valor Obra 2026</t>
  </si>
  <si>
    <t>Total Obra</t>
  </si>
  <si>
    <t>Valor Interventoria 2026</t>
  </si>
  <si>
    <t>Lote 1  - Obra</t>
  </si>
  <si>
    <t>Estudios y Diseños 2026</t>
  </si>
  <si>
    <t>Total</t>
  </si>
  <si>
    <t>Valores 2027</t>
  </si>
  <si>
    <t>Validacion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</si>
</sst>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0.000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Calibri"/>
      <family val="2"/>
    </font>
    <font>
      <sz val="9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6">
    <xf numFmtId="0" fontId="0" fillId="0" borderId="0" xfId="0"/>
    <xf numFmtId="0" fontId="0" fillId="2" borderId="0" xfId="0" applyFill="1"/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164" fontId="0" fillId="2" borderId="0" xfId="0" applyNumberFormat="1" applyFill="1"/>
    <xf numFmtId="10" fontId="0" fillId="2" borderId="0" xfId="2" applyNumberFormat="1" applyFont="1" applyFill="1"/>
    <xf numFmtId="164" fontId="0" fillId="2" borderId="1" xfId="0" applyNumberFormat="1" applyFill="1" applyBorder="1"/>
    <xf numFmtId="10" fontId="0" fillId="2" borderId="1" xfId="2" applyNumberFormat="1" applyFont="1" applyFill="1" applyBorder="1"/>
    <xf numFmtId="9" fontId="0" fillId="2" borderId="0" xfId="2" applyFont="1" applyFill="1"/>
    <xf numFmtId="0" fontId="2" fillId="0" borderId="4" xfId="0" applyFont="1" applyFill="1" applyBorder="1" applyAlignment="1">
      <alignment horizontal="center" vertical="center" wrapText="1"/>
    </xf>
    <xf numFmtId="164" fontId="3" fillId="0" borderId="2" xfId="1" applyNumberFormat="1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4" fillId="2" borderId="0" xfId="0" applyFont="1" applyFill="1"/>
    <xf numFmtId="164" fontId="5" fillId="3" borderId="1" xfId="1" applyNumberFormat="1" applyFont="1" applyFill="1" applyBorder="1" applyAlignment="1">
      <alignment horizontal="center" vertical="center" wrapText="1"/>
    </xf>
    <xf numFmtId="164" fontId="3" fillId="0" borderId="11" xfId="1" applyNumberFormat="1" applyFont="1" applyFill="1" applyBorder="1" applyAlignment="1">
      <alignment horizontal="center" vertical="center" wrapText="1"/>
    </xf>
    <xf numFmtId="164" fontId="5" fillId="3" borderId="12" xfId="1" applyNumberFormat="1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44" fontId="0" fillId="2" borderId="0" xfId="0" applyNumberFormat="1" applyFill="1"/>
    <xf numFmtId="164" fontId="3" fillId="0" borderId="23" xfId="1" applyNumberFormat="1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/>
    </xf>
    <xf numFmtId="164" fontId="5" fillId="3" borderId="24" xfId="1" applyNumberFormat="1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164" fontId="3" fillId="0" borderId="27" xfId="1" applyNumberFormat="1" applyFont="1" applyFill="1" applyBorder="1" applyAlignment="1">
      <alignment horizontal="center" vertical="center" wrapText="1"/>
    </xf>
    <xf numFmtId="164" fontId="3" fillId="0" borderId="28" xfId="1" applyNumberFormat="1" applyFont="1" applyFill="1" applyBorder="1" applyAlignment="1">
      <alignment horizontal="center" vertical="center" wrapText="1"/>
    </xf>
    <xf numFmtId="0" fontId="3" fillId="2" borderId="29" xfId="0" applyFont="1" applyFill="1" applyBorder="1" applyAlignment="1">
      <alignment horizontal="center" vertical="center" wrapText="1"/>
    </xf>
    <xf numFmtId="164" fontId="3" fillId="0" borderId="14" xfId="1" applyNumberFormat="1" applyFont="1" applyFill="1" applyBorder="1" applyAlignment="1">
      <alignment horizontal="center" vertical="center" wrapText="1"/>
    </xf>
    <xf numFmtId="0" fontId="5" fillId="3" borderId="29" xfId="0" applyFont="1" applyFill="1" applyBorder="1" applyAlignment="1">
      <alignment horizontal="center" vertical="center" wrapText="1"/>
    </xf>
    <xf numFmtId="164" fontId="5" fillId="3" borderId="15" xfId="1" applyNumberFormat="1" applyFont="1" applyFill="1" applyBorder="1" applyAlignment="1">
      <alignment horizontal="center" vertical="center" wrapText="1"/>
    </xf>
    <xf numFmtId="165" fontId="0" fillId="2" borderId="0" xfId="2" applyNumberFormat="1" applyFont="1" applyFill="1"/>
    <xf numFmtId="164" fontId="4" fillId="0" borderId="9" xfId="0" applyNumberFormat="1" applyFont="1" applyFill="1" applyBorder="1"/>
    <xf numFmtId="0" fontId="0" fillId="2" borderId="2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2" borderId="39" xfId="0" applyFill="1" applyBorder="1" applyAlignment="1">
      <alignment horizontal="center"/>
    </xf>
    <xf numFmtId="164" fontId="0" fillId="2" borderId="29" xfId="0" applyNumberFormat="1" applyFill="1" applyBorder="1"/>
    <xf numFmtId="164" fontId="0" fillId="2" borderId="15" xfId="0" applyNumberFormat="1" applyFill="1" applyBorder="1"/>
    <xf numFmtId="10" fontId="0" fillId="2" borderId="29" xfId="2" applyNumberFormat="1" applyFont="1" applyFill="1" applyBorder="1"/>
    <xf numFmtId="0" fontId="0" fillId="2" borderId="15" xfId="0" applyFill="1" applyBorder="1"/>
    <xf numFmtId="44" fontId="0" fillId="2" borderId="40" xfId="0" applyNumberFormat="1" applyFill="1" applyBorder="1"/>
    <xf numFmtId="44" fontId="0" fillId="2" borderId="31" xfId="0" applyNumberFormat="1" applyFill="1" applyBorder="1"/>
    <xf numFmtId="44" fontId="0" fillId="2" borderId="18" xfId="0" applyNumberFormat="1" applyFill="1" applyBorder="1"/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28" xfId="0" applyFill="1" applyBorder="1"/>
    <xf numFmtId="164" fontId="0" fillId="2" borderId="40" xfId="0" applyNumberFormat="1" applyFill="1" applyBorder="1"/>
    <xf numFmtId="0" fontId="4" fillId="2" borderId="9" xfId="0" applyFont="1" applyFill="1" applyBorder="1"/>
    <xf numFmtId="164" fontId="5" fillId="3" borderId="29" xfId="1" applyNumberFormat="1" applyFont="1" applyFill="1" applyBorder="1" applyAlignment="1">
      <alignment horizontal="center" vertical="center" wrapText="1"/>
    </xf>
    <xf numFmtId="0" fontId="2" fillId="0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center" vertical="center" wrapText="1"/>
    </xf>
    <xf numFmtId="164" fontId="3" fillId="0" borderId="1" xfId="1" applyNumberFormat="1" applyFont="1" applyFill="1" applyBorder="1" applyAlignment="1">
      <alignment horizontal="center" vertical="center" wrapText="1"/>
    </xf>
    <xf numFmtId="164" fontId="4" fillId="2" borderId="16" xfId="0" applyNumberFormat="1" applyFont="1" applyFill="1" applyBorder="1"/>
    <xf numFmtId="164" fontId="4" fillId="2" borderId="21" xfId="0" applyNumberFormat="1" applyFont="1" applyFill="1" applyBorder="1"/>
    <xf numFmtId="164" fontId="4" fillId="2" borderId="17" xfId="0" applyNumberFormat="1" applyFont="1" applyFill="1" applyBorder="1"/>
    <xf numFmtId="164" fontId="3" fillId="0" borderId="26" xfId="1" applyNumberFormat="1" applyFont="1" applyFill="1" applyBorder="1" applyAlignment="1">
      <alignment horizontal="center" vertical="center" wrapText="1"/>
    </xf>
    <xf numFmtId="164" fontId="3" fillId="0" borderId="39" xfId="1" applyNumberFormat="1" applyFont="1" applyFill="1" applyBorder="1" applyAlignment="1">
      <alignment horizontal="center" vertical="center" wrapText="1"/>
    </xf>
    <xf numFmtId="164" fontId="3" fillId="0" borderId="29" xfId="1" applyNumberFormat="1" applyFont="1" applyFill="1" applyBorder="1" applyAlignment="1">
      <alignment horizontal="center" vertical="center" wrapText="1"/>
    </xf>
    <xf numFmtId="164" fontId="3" fillId="0" borderId="15" xfId="1" applyNumberFormat="1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3" fillId="2" borderId="41" xfId="0" applyFont="1" applyFill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 wrapText="1"/>
    </xf>
    <xf numFmtId="0" fontId="3" fillId="2" borderId="42" xfId="0" applyFont="1" applyFill="1" applyBorder="1" applyAlignment="1">
      <alignment horizontal="center" vertical="center" wrapText="1"/>
    </xf>
    <xf numFmtId="0" fontId="3" fillId="2" borderId="45" xfId="0" applyFont="1" applyFill="1" applyBorder="1" applyAlignment="1">
      <alignment horizontal="center" vertical="center" wrapText="1"/>
    </xf>
    <xf numFmtId="0" fontId="3" fillId="2" borderId="46" xfId="0" applyFont="1" applyFill="1" applyBorder="1" applyAlignment="1">
      <alignment horizontal="center" vertical="center" wrapText="1"/>
    </xf>
    <xf numFmtId="164" fontId="3" fillId="0" borderId="20" xfId="1" applyNumberFormat="1" applyFont="1" applyFill="1" applyBorder="1" applyAlignment="1">
      <alignment horizontal="center" vertical="center" wrapText="1"/>
    </xf>
    <xf numFmtId="164" fontId="3" fillId="0" borderId="24" xfId="1" applyNumberFormat="1" applyFont="1" applyFill="1" applyBorder="1" applyAlignment="1">
      <alignment horizontal="center" vertical="center" wrapText="1"/>
    </xf>
    <xf numFmtId="0" fontId="3" fillId="2" borderId="40" xfId="0" applyFont="1" applyFill="1" applyBorder="1" applyAlignment="1">
      <alignment horizontal="center" vertical="center" wrapText="1"/>
    </xf>
    <xf numFmtId="164" fontId="3" fillId="0" borderId="12" xfId="1" applyNumberFormat="1" applyFont="1" applyFill="1" applyBorder="1" applyAlignment="1">
      <alignment horizontal="center" vertical="center" wrapText="1"/>
    </xf>
    <xf numFmtId="164" fontId="4" fillId="2" borderId="22" xfId="0" applyNumberFormat="1" applyFont="1" applyFill="1" applyBorder="1"/>
    <xf numFmtId="0" fontId="4" fillId="2" borderId="0" xfId="0" applyFont="1" applyFill="1" applyBorder="1" applyAlignment="1">
      <alignment horizontal="center" vertical="center"/>
    </xf>
    <xf numFmtId="164" fontId="0" fillId="2" borderId="0" xfId="0" applyNumberFormat="1" applyFill="1" applyBorder="1" applyAlignment="1">
      <alignment vertical="center"/>
    </xf>
    <xf numFmtId="164" fontId="3" fillId="0" borderId="32" xfId="1" applyNumberFormat="1" applyFont="1" applyFill="1" applyBorder="1" applyAlignment="1">
      <alignment horizontal="center" vertical="center" wrapText="1"/>
    </xf>
    <xf numFmtId="164" fontId="3" fillId="0" borderId="34" xfId="1" applyNumberFormat="1" applyFont="1" applyFill="1" applyBorder="1" applyAlignment="1">
      <alignment horizontal="center" vertical="center" wrapText="1"/>
    </xf>
    <xf numFmtId="164" fontId="3" fillId="0" borderId="48" xfId="1" applyNumberFormat="1" applyFont="1" applyFill="1" applyBorder="1" applyAlignment="1">
      <alignment horizontal="center" vertical="center" wrapText="1"/>
    </xf>
    <xf numFmtId="164" fontId="5" fillId="3" borderId="49" xfId="1" applyNumberFormat="1" applyFont="1" applyFill="1" applyBorder="1" applyAlignment="1">
      <alignment horizontal="center" vertical="center" wrapText="1"/>
    </xf>
    <xf numFmtId="164" fontId="4" fillId="2" borderId="9" xfId="0" applyNumberFormat="1" applyFont="1" applyFill="1" applyBorder="1"/>
    <xf numFmtId="0" fontId="4" fillId="4" borderId="9" xfId="0" applyFont="1" applyFill="1" applyBorder="1"/>
    <xf numFmtId="164" fontId="4" fillId="4" borderId="9" xfId="0" applyNumberFormat="1" applyFont="1" applyFill="1" applyBorder="1"/>
    <xf numFmtId="0" fontId="5" fillId="3" borderId="33" xfId="0" applyFont="1" applyFill="1" applyBorder="1" applyAlignment="1">
      <alignment horizontal="center" vertical="center" wrapText="1"/>
    </xf>
    <xf numFmtId="164" fontId="3" fillId="0" borderId="51" xfId="1" applyNumberFormat="1" applyFont="1" applyFill="1" applyBorder="1" applyAlignment="1">
      <alignment horizontal="center" vertical="center" wrapText="1"/>
    </xf>
    <xf numFmtId="164" fontId="3" fillId="0" borderId="30" xfId="1" applyNumberFormat="1" applyFont="1" applyFill="1" applyBorder="1" applyAlignment="1">
      <alignment horizontal="center" vertical="center" wrapText="1"/>
    </xf>
    <xf numFmtId="164" fontId="3" fillId="0" borderId="25" xfId="1" applyNumberFormat="1" applyFont="1" applyFill="1" applyBorder="1" applyAlignment="1">
      <alignment horizontal="center" vertical="center" wrapText="1"/>
    </xf>
    <xf numFmtId="164" fontId="3" fillId="0" borderId="52" xfId="1" applyNumberFormat="1" applyFont="1" applyFill="1" applyBorder="1" applyAlignment="1">
      <alignment horizontal="center" vertical="center" wrapText="1"/>
    </xf>
    <xf numFmtId="164" fontId="3" fillId="0" borderId="50" xfId="1" applyNumberFormat="1" applyFont="1" applyFill="1" applyBorder="1" applyAlignment="1">
      <alignment horizontal="center" vertical="center" wrapText="1"/>
    </xf>
    <xf numFmtId="164" fontId="3" fillId="0" borderId="53" xfId="1" applyNumberFormat="1" applyFont="1" applyFill="1" applyBorder="1" applyAlignment="1">
      <alignment horizontal="center" vertical="center" wrapText="1"/>
    </xf>
    <xf numFmtId="164" fontId="3" fillId="0" borderId="49" xfId="1" applyNumberFormat="1" applyFont="1" applyFill="1" applyBorder="1" applyAlignment="1">
      <alignment horizontal="center" vertical="center" wrapText="1"/>
    </xf>
    <xf numFmtId="164" fontId="4" fillId="0" borderId="21" xfId="0" applyNumberFormat="1" applyFont="1" applyFill="1" applyBorder="1"/>
    <xf numFmtId="164" fontId="4" fillId="0" borderId="17" xfId="0" applyNumberFormat="1" applyFont="1" applyFill="1" applyBorder="1"/>
    <xf numFmtId="164" fontId="4" fillId="2" borderId="47" xfId="0" applyNumberFormat="1" applyFont="1" applyFill="1" applyBorder="1"/>
    <xf numFmtId="164" fontId="5" fillId="3" borderId="54" xfId="1" applyNumberFormat="1" applyFont="1" applyFill="1" applyBorder="1" applyAlignment="1">
      <alignment horizontal="center" vertical="center" wrapText="1"/>
    </xf>
    <xf numFmtId="164" fontId="5" fillId="3" borderId="55" xfId="1" applyNumberFormat="1" applyFont="1" applyFill="1" applyBorder="1" applyAlignment="1">
      <alignment horizontal="center" vertical="center" wrapText="1"/>
    </xf>
    <xf numFmtId="164" fontId="5" fillId="3" borderId="56" xfId="1" applyNumberFormat="1" applyFont="1" applyFill="1" applyBorder="1" applyAlignment="1">
      <alignment horizontal="center" vertical="center" wrapText="1"/>
    </xf>
    <xf numFmtId="164" fontId="5" fillId="3" borderId="57" xfId="1" applyNumberFormat="1" applyFont="1" applyFill="1" applyBorder="1" applyAlignment="1">
      <alignment horizontal="center" vertical="center" wrapText="1"/>
    </xf>
    <xf numFmtId="164" fontId="5" fillId="3" borderId="9" xfId="1" applyNumberFormat="1" applyFont="1" applyFill="1" applyBorder="1" applyAlignment="1">
      <alignment horizontal="center" vertical="center" wrapText="1"/>
    </xf>
    <xf numFmtId="164" fontId="4" fillId="4" borderId="48" xfId="0" applyNumberFormat="1" applyFont="1" applyFill="1" applyBorder="1" applyAlignment="1">
      <alignment vertical="center"/>
    </xf>
    <xf numFmtId="9" fontId="0" fillId="2" borderId="0" xfId="2" applyFont="1" applyFill="1" applyAlignment="1">
      <alignment vertical="center"/>
    </xf>
    <xf numFmtId="164" fontId="4" fillId="2" borderId="0" xfId="0" applyNumberFormat="1" applyFont="1" applyFill="1"/>
    <xf numFmtId="0" fontId="4" fillId="3" borderId="45" xfId="0" applyFont="1" applyFill="1" applyBorder="1" applyAlignment="1">
      <alignment horizontal="center"/>
    </xf>
    <xf numFmtId="0" fontId="4" fillId="3" borderId="38" xfId="0" applyFont="1" applyFill="1" applyBorder="1" applyAlignment="1">
      <alignment horizontal="center"/>
    </xf>
    <xf numFmtId="0" fontId="4" fillId="2" borderId="49" xfId="0" applyFont="1" applyFill="1" applyBorder="1" applyAlignment="1">
      <alignment horizontal="center" vertical="center"/>
    </xf>
    <xf numFmtId="0" fontId="4" fillId="2" borderId="37" xfId="0" applyFont="1" applyFill="1" applyBorder="1" applyAlignment="1">
      <alignment horizontal="center" vertical="center"/>
    </xf>
    <xf numFmtId="0" fontId="4" fillId="2" borderId="35" xfId="0" applyFont="1" applyFill="1" applyBorder="1" applyAlignment="1">
      <alignment horizontal="center" vertical="center"/>
    </xf>
    <xf numFmtId="0" fontId="4" fillId="2" borderId="33" xfId="0" applyFont="1" applyFill="1" applyBorder="1" applyAlignment="1">
      <alignment horizontal="center" vertical="center"/>
    </xf>
    <xf numFmtId="0" fontId="4" fillId="2" borderId="3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164" fontId="4" fillId="0" borderId="6" xfId="0" applyNumberFormat="1" applyFont="1" applyFill="1" applyBorder="1" applyAlignment="1">
      <alignment horizontal="center"/>
    </xf>
    <xf numFmtId="164" fontId="4" fillId="0" borderId="7" xfId="0" applyNumberFormat="1" applyFont="1" applyFill="1" applyBorder="1" applyAlignment="1">
      <alignment horizontal="center"/>
    </xf>
    <xf numFmtId="164" fontId="4" fillId="0" borderId="8" xfId="0" applyNumberFormat="1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75"/>
  <sheetViews>
    <sheetView tabSelected="1" topLeftCell="J1" workbookViewId="0">
      <selection activeCell="T11" sqref="T11"/>
    </sheetView>
  </sheetViews>
  <sheetFormatPr baseColWidth="10" defaultRowHeight="15" x14ac:dyDescent="0.25"/>
  <cols>
    <col min="1" max="1" width="2.7109375" style="1" customWidth="1"/>
    <col min="2" max="2" width="7.7109375" style="1" customWidth="1"/>
    <col min="3" max="3" width="11.7109375" style="1" customWidth="1"/>
    <col min="4" max="4" width="26.5703125" style="1" customWidth="1"/>
    <col min="5" max="5" width="18.140625" style="1" customWidth="1"/>
    <col min="6" max="6" width="17.85546875" style="1" customWidth="1"/>
    <col min="7" max="7" width="19.28515625" style="1" customWidth="1"/>
    <col min="8" max="8" width="20.140625" style="1" customWidth="1"/>
    <col min="9" max="9" width="19.7109375" style="1" customWidth="1"/>
    <col min="10" max="10" width="19" style="1" customWidth="1"/>
    <col min="11" max="11" width="19.28515625" style="1" customWidth="1"/>
    <col min="12" max="14" width="21" style="1" customWidth="1"/>
    <col min="15" max="15" width="21.85546875" style="1" customWidth="1"/>
    <col min="16" max="16" width="17.42578125" style="1" customWidth="1"/>
    <col min="17" max="17" width="21.140625" style="1" customWidth="1"/>
    <col min="18" max="18" width="5.5703125" style="1" customWidth="1"/>
    <col min="19" max="19" width="16.42578125" style="1" customWidth="1"/>
    <col min="20" max="20" width="16.7109375" style="1" bestFit="1" customWidth="1"/>
    <col min="21" max="16384" width="11.42578125" style="1"/>
  </cols>
  <sheetData>
    <row r="1" spans="2:18" ht="15.75" thickBot="1" x14ac:dyDescent="0.3"/>
    <row r="2" spans="2:18" ht="15.75" thickBot="1" x14ac:dyDescent="0.3">
      <c r="I2" s="113" t="s">
        <v>75</v>
      </c>
      <c r="J2" s="114"/>
      <c r="K2" s="115"/>
      <c r="L2" s="113" t="s">
        <v>77</v>
      </c>
      <c r="M2" s="114"/>
      <c r="N2" s="115"/>
      <c r="O2" s="47" t="s">
        <v>79</v>
      </c>
      <c r="P2" s="103" t="s">
        <v>81</v>
      </c>
      <c r="Q2" s="104"/>
    </row>
    <row r="3" spans="2:18" ht="15.75" thickBot="1" x14ac:dyDescent="0.3">
      <c r="I3" s="110">
        <v>19213700115</v>
      </c>
      <c r="J3" s="111"/>
      <c r="K3" s="112"/>
      <c r="L3" s="110">
        <v>1667399885</v>
      </c>
      <c r="M3" s="111"/>
      <c r="N3" s="112"/>
      <c r="O3" s="32">
        <v>718900000</v>
      </c>
      <c r="P3" s="105"/>
      <c r="Q3" s="106"/>
    </row>
    <row r="4" spans="2:18" ht="15.75" thickBot="1" x14ac:dyDescent="0.3">
      <c r="I4" s="43" t="s">
        <v>78</v>
      </c>
      <c r="J4" s="33" t="s">
        <v>72</v>
      </c>
      <c r="K4" s="44" t="s">
        <v>76</v>
      </c>
      <c r="L4" s="34" t="s">
        <v>74</v>
      </c>
      <c r="M4" s="35" t="s">
        <v>73</v>
      </c>
      <c r="N4" s="45"/>
      <c r="P4" s="47" t="s">
        <v>70</v>
      </c>
      <c r="Q4" s="78">
        <f>M62</f>
        <v>4909090909</v>
      </c>
    </row>
    <row r="5" spans="2:18" ht="15.75" thickBot="1" x14ac:dyDescent="0.3">
      <c r="I5" s="36">
        <v>12108292912</v>
      </c>
      <c r="J5" s="7">
        <v>12014498111.896284</v>
      </c>
      <c r="K5" s="37">
        <f>+I5+J5</f>
        <v>24122791023.896286</v>
      </c>
      <c r="L5" s="36">
        <f>F38</f>
        <v>1083289773</v>
      </c>
      <c r="M5" s="7">
        <f>F61</f>
        <v>1074605250</v>
      </c>
      <c r="N5" s="37">
        <f>+L5+M5</f>
        <v>2157895023</v>
      </c>
      <c r="P5" s="47" t="s">
        <v>71</v>
      </c>
      <c r="Q5" s="78">
        <f>N62</f>
        <v>490495138</v>
      </c>
    </row>
    <row r="6" spans="2:18" ht="15.75" thickBot="1" x14ac:dyDescent="0.3">
      <c r="I6" s="38">
        <f>I5/K5</f>
        <v>0.50194411169111397</v>
      </c>
      <c r="J6" s="8">
        <f>J5/K5</f>
        <v>0.49805588830888592</v>
      </c>
      <c r="K6" s="39"/>
      <c r="L6" s="38">
        <f>L5/N5</f>
        <v>0.502012267257544</v>
      </c>
      <c r="M6" s="8">
        <f>M5/N5</f>
        <v>0.497987732742456</v>
      </c>
      <c r="N6" s="39"/>
      <c r="P6" s="47" t="s">
        <v>80</v>
      </c>
      <c r="Q6" s="78">
        <f>Q4+Q5</f>
        <v>5399586047</v>
      </c>
    </row>
    <row r="7" spans="2:18" ht="15.75" thickBot="1" x14ac:dyDescent="0.3">
      <c r="I7" s="40">
        <f>ROUND(I3*I6,0)</f>
        <v>9644203637</v>
      </c>
      <c r="J7" s="41">
        <f>ROUND(I3*J6,0)</f>
        <v>9569496478</v>
      </c>
      <c r="K7" s="42">
        <f>+I7+J7</f>
        <v>19213700115</v>
      </c>
      <c r="L7" s="46">
        <f>L6*L3</f>
        <v>837055196.69381809</v>
      </c>
      <c r="M7" s="41">
        <f>M6*L3</f>
        <v>830344688.30618191</v>
      </c>
      <c r="N7" s="42">
        <f>+L7+M7</f>
        <v>1667399885</v>
      </c>
    </row>
    <row r="8" spans="2:18" ht="17.25" customHeight="1" thickBot="1" x14ac:dyDescent="0.3">
      <c r="I8" s="5"/>
      <c r="J8" s="20"/>
      <c r="K8" s="20"/>
      <c r="P8" s="79" t="s">
        <v>82</v>
      </c>
      <c r="Q8" s="80">
        <f>+I3+L3+O3+Q6</f>
        <v>26999586047</v>
      </c>
    </row>
    <row r="9" spans="2:18" ht="15.75" thickBot="1" x14ac:dyDescent="0.3">
      <c r="E9" s="107" t="s">
        <v>65</v>
      </c>
      <c r="F9" s="108"/>
      <c r="G9" s="108"/>
      <c r="H9" s="109"/>
      <c r="I9" s="107" t="s">
        <v>67</v>
      </c>
      <c r="J9" s="108"/>
      <c r="K9" s="108"/>
      <c r="L9" s="108"/>
      <c r="M9" s="107" t="s">
        <v>69</v>
      </c>
      <c r="N9" s="108"/>
      <c r="O9" s="109"/>
      <c r="P9" s="102" t="s">
        <v>59</v>
      </c>
      <c r="Q9" s="72"/>
    </row>
    <row r="10" spans="2:18" ht="15.75" thickBot="1" x14ac:dyDescent="0.3">
      <c r="B10" s="4" t="s">
        <v>61</v>
      </c>
      <c r="C10" s="2" t="s">
        <v>0</v>
      </c>
      <c r="D10" s="3" t="s">
        <v>1</v>
      </c>
      <c r="E10" s="19" t="s">
        <v>68</v>
      </c>
      <c r="F10" s="3" t="s">
        <v>60</v>
      </c>
      <c r="G10" s="3" t="s">
        <v>62</v>
      </c>
      <c r="H10" s="10" t="s">
        <v>59</v>
      </c>
      <c r="I10" s="49" t="s">
        <v>68</v>
      </c>
      <c r="J10" s="50" t="s">
        <v>60</v>
      </c>
      <c r="K10" s="50" t="s">
        <v>62</v>
      </c>
      <c r="L10" s="49" t="s">
        <v>59</v>
      </c>
      <c r="M10" s="59" t="s">
        <v>68</v>
      </c>
      <c r="N10" s="60" t="s">
        <v>60</v>
      </c>
      <c r="O10" s="61" t="s">
        <v>59</v>
      </c>
      <c r="P10" s="102"/>
      <c r="Q10" s="72"/>
    </row>
    <row r="11" spans="2:18" ht="36" x14ac:dyDescent="0.25">
      <c r="B11" s="62" t="s">
        <v>35</v>
      </c>
      <c r="C11" s="63">
        <v>10</v>
      </c>
      <c r="D11" s="24" t="s">
        <v>2</v>
      </c>
      <c r="E11" s="25">
        <v>576702878</v>
      </c>
      <c r="F11" s="25">
        <v>51595740</v>
      </c>
      <c r="G11" s="25">
        <v>17186722</v>
      </c>
      <c r="H11" s="26">
        <f>+E11+F11+G11</f>
        <v>645485340</v>
      </c>
      <c r="I11" s="55">
        <v>459341381</v>
      </c>
      <c r="J11" s="56">
        <f t="shared" ref="J11:J37" si="0">R11*$L$7</f>
        <v>39867894.218165658</v>
      </c>
      <c r="K11" s="56">
        <v>17186722</v>
      </c>
      <c r="L11" s="26">
        <f>+I11+J11+K11</f>
        <v>516395997.21816564</v>
      </c>
      <c r="M11" s="67">
        <f>E11-I11</f>
        <v>117361497</v>
      </c>
      <c r="N11" s="11">
        <f>+F11-J11</f>
        <v>11727845.781834342</v>
      </c>
      <c r="O11" s="15">
        <f>+M11+N11</f>
        <v>129089342.78183433</v>
      </c>
      <c r="P11" s="74">
        <f>+L11+O11</f>
        <v>645485340</v>
      </c>
      <c r="Q11" s="73">
        <f>+I11+K11</f>
        <v>476528103</v>
      </c>
      <c r="R11" s="98">
        <f t="shared" ref="R11:R37" si="1">E11/$E$38</f>
        <v>4.7628751814259053E-2</v>
      </c>
    </row>
    <row r="12" spans="2:18" ht="24" x14ac:dyDescent="0.25">
      <c r="B12" s="64" t="s">
        <v>35</v>
      </c>
      <c r="C12" s="17">
        <v>10</v>
      </c>
      <c r="D12" s="27" t="s">
        <v>3</v>
      </c>
      <c r="E12" s="15">
        <v>768937171</v>
      </c>
      <c r="F12" s="15">
        <v>68794320</v>
      </c>
      <c r="G12" s="15">
        <v>22915629</v>
      </c>
      <c r="H12" s="28">
        <f t="shared" ref="H12:H60" si="2">+E12+F12+G12</f>
        <v>860647120</v>
      </c>
      <c r="I12" s="57">
        <v>612455176</v>
      </c>
      <c r="J12" s="51">
        <f t="shared" si="0"/>
        <v>53157192.313931115</v>
      </c>
      <c r="K12" s="51">
        <v>22915629</v>
      </c>
      <c r="L12" s="58">
        <f t="shared" ref="L12:L60" si="3">+I12+J12+K12</f>
        <v>688527997.31393111</v>
      </c>
      <c r="M12" s="68">
        <f t="shared" ref="M12:M60" si="4">E12-I12</f>
        <v>156481995</v>
      </c>
      <c r="N12" s="51">
        <f t="shared" ref="N12:N60" si="5">+F12-J12</f>
        <v>15637127.686068885</v>
      </c>
      <c r="O12" s="70">
        <f t="shared" ref="O12:O60" si="6">+M12+N12</f>
        <v>172119122.68606889</v>
      </c>
      <c r="P12" s="75">
        <f t="shared" ref="P12:P60" si="7">+L12+O12</f>
        <v>860647120</v>
      </c>
      <c r="Q12" s="73">
        <f t="shared" ref="Q12:Q62" si="8">+I12+K12</f>
        <v>635370805</v>
      </c>
      <c r="R12" s="98">
        <f t="shared" si="1"/>
        <v>6.3505002446541406E-2</v>
      </c>
    </row>
    <row r="13" spans="2:18" ht="24" x14ac:dyDescent="0.25">
      <c r="B13" s="64" t="s">
        <v>35</v>
      </c>
      <c r="C13" s="17">
        <v>11</v>
      </c>
      <c r="D13" s="27" t="s">
        <v>4</v>
      </c>
      <c r="E13" s="15">
        <v>576702878</v>
      </c>
      <c r="F13" s="15">
        <v>51595740</v>
      </c>
      <c r="G13" s="15">
        <v>17186722</v>
      </c>
      <c r="H13" s="28">
        <f t="shared" si="2"/>
        <v>645485340</v>
      </c>
      <c r="I13" s="57">
        <v>459341381</v>
      </c>
      <c r="J13" s="51">
        <f t="shared" si="0"/>
        <v>39867894.218165658</v>
      </c>
      <c r="K13" s="51">
        <v>17186722</v>
      </c>
      <c r="L13" s="58">
        <f t="shared" si="3"/>
        <v>516395997.21816564</v>
      </c>
      <c r="M13" s="68">
        <f t="shared" si="4"/>
        <v>117361497</v>
      </c>
      <c r="N13" s="51">
        <f t="shared" si="5"/>
        <v>11727845.781834342</v>
      </c>
      <c r="O13" s="70">
        <f t="shared" si="6"/>
        <v>129089342.78183433</v>
      </c>
      <c r="P13" s="75">
        <f t="shared" si="7"/>
        <v>645485340</v>
      </c>
      <c r="Q13" s="73">
        <f t="shared" si="8"/>
        <v>476528103</v>
      </c>
      <c r="R13" s="98">
        <f t="shared" si="1"/>
        <v>4.7628751814259053E-2</v>
      </c>
    </row>
    <row r="14" spans="2:18" ht="24" x14ac:dyDescent="0.25">
      <c r="B14" s="64" t="s">
        <v>35</v>
      </c>
      <c r="C14" s="17">
        <v>12</v>
      </c>
      <c r="D14" s="27" t="s">
        <v>5</v>
      </c>
      <c r="E14" s="15">
        <v>480585732</v>
      </c>
      <c r="F14" s="15">
        <v>42996450</v>
      </c>
      <c r="G14" s="15">
        <v>14322268</v>
      </c>
      <c r="H14" s="28">
        <f t="shared" si="2"/>
        <v>537904450</v>
      </c>
      <c r="I14" s="57">
        <v>382784485</v>
      </c>
      <c r="J14" s="51">
        <f t="shared" si="0"/>
        <v>33223245.204848289</v>
      </c>
      <c r="K14" s="51">
        <v>14322268</v>
      </c>
      <c r="L14" s="58">
        <f t="shared" si="3"/>
        <v>430329998.20484829</v>
      </c>
      <c r="M14" s="68">
        <f t="shared" si="4"/>
        <v>97801247</v>
      </c>
      <c r="N14" s="51">
        <f t="shared" si="5"/>
        <v>9773204.7951517105</v>
      </c>
      <c r="O14" s="70">
        <f t="shared" si="6"/>
        <v>107574451.79515171</v>
      </c>
      <c r="P14" s="75">
        <f t="shared" si="7"/>
        <v>537904450</v>
      </c>
      <c r="Q14" s="73">
        <f t="shared" si="8"/>
        <v>397106753</v>
      </c>
      <c r="R14" s="98">
        <f t="shared" si="1"/>
        <v>3.9690626539411883E-2</v>
      </c>
    </row>
    <row r="15" spans="2:18" ht="24" x14ac:dyDescent="0.25">
      <c r="B15" s="64" t="s">
        <v>35</v>
      </c>
      <c r="C15" s="17">
        <v>12</v>
      </c>
      <c r="D15" s="27" t="s">
        <v>6</v>
      </c>
      <c r="E15" s="15">
        <v>576702878</v>
      </c>
      <c r="F15" s="15">
        <v>51595740</v>
      </c>
      <c r="G15" s="15">
        <v>17186722</v>
      </c>
      <c r="H15" s="28">
        <f t="shared" si="2"/>
        <v>645485340</v>
      </c>
      <c r="I15" s="57">
        <v>459341381</v>
      </c>
      <c r="J15" s="51">
        <f t="shared" si="0"/>
        <v>39867894.218165658</v>
      </c>
      <c r="K15" s="51">
        <v>17186722</v>
      </c>
      <c r="L15" s="58">
        <f t="shared" si="3"/>
        <v>516395997.21816564</v>
      </c>
      <c r="M15" s="68">
        <f t="shared" si="4"/>
        <v>117361497</v>
      </c>
      <c r="N15" s="51">
        <f t="shared" si="5"/>
        <v>11727845.781834342</v>
      </c>
      <c r="O15" s="70">
        <f t="shared" si="6"/>
        <v>129089342.78183433</v>
      </c>
      <c r="P15" s="75">
        <f t="shared" si="7"/>
        <v>645485340</v>
      </c>
      <c r="Q15" s="73">
        <f t="shared" si="8"/>
        <v>476528103</v>
      </c>
      <c r="R15" s="98">
        <f t="shared" si="1"/>
        <v>4.7628751814259053E-2</v>
      </c>
    </row>
    <row r="16" spans="2:18" ht="24" x14ac:dyDescent="0.25">
      <c r="B16" s="64" t="s">
        <v>35</v>
      </c>
      <c r="C16" s="17">
        <v>13</v>
      </c>
      <c r="D16" s="27" t="s">
        <v>7</v>
      </c>
      <c r="E16" s="15">
        <v>576702878</v>
      </c>
      <c r="F16" s="15">
        <v>51595740</v>
      </c>
      <c r="G16" s="15">
        <v>17186722</v>
      </c>
      <c r="H16" s="28">
        <f t="shared" si="2"/>
        <v>645485340</v>
      </c>
      <c r="I16" s="57">
        <v>459341381</v>
      </c>
      <c r="J16" s="51">
        <f t="shared" si="0"/>
        <v>39867894.218165658</v>
      </c>
      <c r="K16" s="51">
        <v>17186722</v>
      </c>
      <c r="L16" s="58">
        <f t="shared" si="3"/>
        <v>516395997.21816564</v>
      </c>
      <c r="M16" s="68">
        <f t="shared" si="4"/>
        <v>117361497</v>
      </c>
      <c r="N16" s="51">
        <f t="shared" si="5"/>
        <v>11727845.781834342</v>
      </c>
      <c r="O16" s="70">
        <f t="shared" si="6"/>
        <v>129089342.78183433</v>
      </c>
      <c r="P16" s="75">
        <f t="shared" si="7"/>
        <v>645485340</v>
      </c>
      <c r="Q16" s="73">
        <f t="shared" si="8"/>
        <v>476528103</v>
      </c>
      <c r="R16" s="98">
        <f t="shared" si="1"/>
        <v>4.7628751814259053E-2</v>
      </c>
    </row>
    <row r="17" spans="2:18" ht="24" x14ac:dyDescent="0.25">
      <c r="B17" s="64" t="s">
        <v>35</v>
      </c>
      <c r="C17" s="17">
        <v>13</v>
      </c>
      <c r="D17" s="27" t="s">
        <v>8</v>
      </c>
      <c r="E17" s="15">
        <v>576702878</v>
      </c>
      <c r="F17" s="15">
        <v>51595740</v>
      </c>
      <c r="G17" s="15">
        <v>17186722</v>
      </c>
      <c r="H17" s="28">
        <f t="shared" si="2"/>
        <v>645485340</v>
      </c>
      <c r="I17" s="57">
        <v>459341381</v>
      </c>
      <c r="J17" s="51">
        <f t="shared" si="0"/>
        <v>39867894.218165658</v>
      </c>
      <c r="K17" s="51">
        <v>17186722</v>
      </c>
      <c r="L17" s="58">
        <f t="shared" si="3"/>
        <v>516395997.21816564</v>
      </c>
      <c r="M17" s="68">
        <f t="shared" si="4"/>
        <v>117361497</v>
      </c>
      <c r="N17" s="51">
        <f t="shared" si="5"/>
        <v>11727845.781834342</v>
      </c>
      <c r="O17" s="70">
        <f t="shared" si="6"/>
        <v>129089342.78183433</v>
      </c>
      <c r="P17" s="75">
        <f t="shared" si="7"/>
        <v>645485340</v>
      </c>
      <c r="Q17" s="73">
        <f t="shared" si="8"/>
        <v>476528103</v>
      </c>
      <c r="R17" s="98">
        <f t="shared" si="1"/>
        <v>4.7628751814259053E-2</v>
      </c>
    </row>
    <row r="18" spans="2:18" ht="24" x14ac:dyDescent="0.25">
      <c r="B18" s="64" t="s">
        <v>35</v>
      </c>
      <c r="C18" s="17">
        <v>13</v>
      </c>
      <c r="D18" s="27" t="s">
        <v>9</v>
      </c>
      <c r="E18" s="15">
        <v>576702878</v>
      </c>
      <c r="F18" s="15">
        <v>51595740</v>
      </c>
      <c r="G18" s="15">
        <v>17186722</v>
      </c>
      <c r="H18" s="28">
        <f t="shared" si="2"/>
        <v>645485340</v>
      </c>
      <c r="I18" s="57">
        <v>459341381</v>
      </c>
      <c r="J18" s="51">
        <f t="shared" si="0"/>
        <v>39867894.218165658</v>
      </c>
      <c r="K18" s="51">
        <v>17186722</v>
      </c>
      <c r="L18" s="58">
        <f t="shared" si="3"/>
        <v>516395997.21816564</v>
      </c>
      <c r="M18" s="68">
        <f t="shared" si="4"/>
        <v>117361497</v>
      </c>
      <c r="N18" s="51">
        <f t="shared" si="5"/>
        <v>11727845.781834342</v>
      </c>
      <c r="O18" s="70">
        <f t="shared" si="6"/>
        <v>129089342.78183433</v>
      </c>
      <c r="P18" s="75">
        <f t="shared" si="7"/>
        <v>645485340</v>
      </c>
      <c r="Q18" s="73">
        <f t="shared" si="8"/>
        <v>476528103</v>
      </c>
      <c r="R18" s="98">
        <f t="shared" si="1"/>
        <v>4.7628751814259053E-2</v>
      </c>
    </row>
    <row r="19" spans="2:18" ht="24" x14ac:dyDescent="0.25">
      <c r="B19" s="64" t="s">
        <v>35</v>
      </c>
      <c r="C19" s="17">
        <v>13</v>
      </c>
      <c r="D19" s="27" t="s">
        <v>10</v>
      </c>
      <c r="E19" s="15">
        <v>288351439</v>
      </c>
      <c r="F19" s="15">
        <v>25797870</v>
      </c>
      <c r="G19" s="15">
        <v>8593361</v>
      </c>
      <c r="H19" s="28">
        <f t="shared" si="2"/>
        <v>322742670</v>
      </c>
      <c r="I19" s="57">
        <v>229670691</v>
      </c>
      <c r="J19" s="51">
        <f t="shared" si="0"/>
        <v>19933947.109082829</v>
      </c>
      <c r="K19" s="51">
        <v>8593361</v>
      </c>
      <c r="L19" s="58">
        <f t="shared" si="3"/>
        <v>258197999.10908282</v>
      </c>
      <c r="M19" s="68">
        <f t="shared" si="4"/>
        <v>58680748</v>
      </c>
      <c r="N19" s="51">
        <f t="shared" si="5"/>
        <v>5863922.8909171708</v>
      </c>
      <c r="O19" s="70">
        <f t="shared" si="6"/>
        <v>64544670.890917167</v>
      </c>
      <c r="P19" s="75">
        <f t="shared" si="7"/>
        <v>322742670</v>
      </c>
      <c r="Q19" s="73">
        <f t="shared" si="8"/>
        <v>238264052</v>
      </c>
      <c r="R19" s="98">
        <f t="shared" si="1"/>
        <v>2.3814375907129526E-2</v>
      </c>
    </row>
    <row r="20" spans="2:18" ht="24" x14ac:dyDescent="0.25">
      <c r="B20" s="64" t="s">
        <v>35</v>
      </c>
      <c r="C20" s="17">
        <v>13</v>
      </c>
      <c r="D20" s="27" t="s">
        <v>11</v>
      </c>
      <c r="E20" s="15">
        <v>576702878</v>
      </c>
      <c r="F20" s="15">
        <v>51595740</v>
      </c>
      <c r="G20" s="15">
        <v>17186722</v>
      </c>
      <c r="H20" s="28">
        <f t="shared" si="2"/>
        <v>645485340</v>
      </c>
      <c r="I20" s="57">
        <v>459341381</v>
      </c>
      <c r="J20" s="51">
        <f t="shared" si="0"/>
        <v>39867894.218165658</v>
      </c>
      <c r="K20" s="51">
        <v>17186722</v>
      </c>
      <c r="L20" s="58">
        <f t="shared" si="3"/>
        <v>516395997.21816564</v>
      </c>
      <c r="M20" s="68">
        <f t="shared" si="4"/>
        <v>117361497</v>
      </c>
      <c r="N20" s="51">
        <f t="shared" si="5"/>
        <v>11727845.781834342</v>
      </c>
      <c r="O20" s="70">
        <f t="shared" si="6"/>
        <v>129089342.78183433</v>
      </c>
      <c r="P20" s="75">
        <f t="shared" si="7"/>
        <v>645485340</v>
      </c>
      <c r="Q20" s="73">
        <f t="shared" si="8"/>
        <v>476528103</v>
      </c>
      <c r="R20" s="98">
        <f t="shared" si="1"/>
        <v>4.7628751814259053E-2</v>
      </c>
    </row>
    <row r="21" spans="2:18" x14ac:dyDescent="0.25">
      <c r="B21" s="64" t="s">
        <v>35</v>
      </c>
      <c r="C21" s="17">
        <v>14</v>
      </c>
      <c r="D21" s="27" t="s">
        <v>12</v>
      </c>
      <c r="E21" s="15">
        <v>576702878</v>
      </c>
      <c r="F21" s="15">
        <v>51595740</v>
      </c>
      <c r="G21" s="15">
        <v>17186722</v>
      </c>
      <c r="H21" s="28">
        <f t="shared" si="2"/>
        <v>645485340</v>
      </c>
      <c r="I21" s="57">
        <v>459341381</v>
      </c>
      <c r="J21" s="51">
        <f t="shared" si="0"/>
        <v>39867894.218165658</v>
      </c>
      <c r="K21" s="51">
        <v>17186722</v>
      </c>
      <c r="L21" s="58">
        <f t="shared" si="3"/>
        <v>516395997.21816564</v>
      </c>
      <c r="M21" s="68">
        <f t="shared" si="4"/>
        <v>117361497</v>
      </c>
      <c r="N21" s="51">
        <f t="shared" si="5"/>
        <v>11727845.781834342</v>
      </c>
      <c r="O21" s="70">
        <f t="shared" si="6"/>
        <v>129089342.78183433</v>
      </c>
      <c r="P21" s="75">
        <f t="shared" si="7"/>
        <v>645485340</v>
      </c>
      <c r="Q21" s="73">
        <f t="shared" si="8"/>
        <v>476528103</v>
      </c>
      <c r="R21" s="98">
        <f t="shared" si="1"/>
        <v>4.7628751814259053E-2</v>
      </c>
    </row>
    <row r="22" spans="2:18" ht="24" x14ac:dyDescent="0.25">
      <c r="B22" s="64" t="s">
        <v>35</v>
      </c>
      <c r="C22" s="17">
        <v>15</v>
      </c>
      <c r="D22" s="27" t="s">
        <v>13</v>
      </c>
      <c r="E22" s="15">
        <v>480585732</v>
      </c>
      <c r="F22" s="15">
        <v>42996450</v>
      </c>
      <c r="G22" s="15">
        <v>14322268</v>
      </c>
      <c r="H22" s="28">
        <f t="shared" si="2"/>
        <v>537904450</v>
      </c>
      <c r="I22" s="57">
        <v>382784485</v>
      </c>
      <c r="J22" s="51">
        <f t="shared" si="0"/>
        <v>33223245.204848289</v>
      </c>
      <c r="K22" s="51">
        <v>14322268</v>
      </c>
      <c r="L22" s="58">
        <f t="shared" si="3"/>
        <v>430329998.20484829</v>
      </c>
      <c r="M22" s="68">
        <f t="shared" si="4"/>
        <v>97801247</v>
      </c>
      <c r="N22" s="51">
        <f t="shared" si="5"/>
        <v>9773204.7951517105</v>
      </c>
      <c r="O22" s="70">
        <f t="shared" si="6"/>
        <v>107574451.79515171</v>
      </c>
      <c r="P22" s="75">
        <f t="shared" si="7"/>
        <v>537904450</v>
      </c>
      <c r="Q22" s="73">
        <f t="shared" si="8"/>
        <v>397106753</v>
      </c>
      <c r="R22" s="98">
        <f t="shared" si="1"/>
        <v>3.9690626539411883E-2</v>
      </c>
    </row>
    <row r="23" spans="2:18" ht="24" x14ac:dyDescent="0.25">
      <c r="B23" s="64" t="s">
        <v>35</v>
      </c>
      <c r="C23" s="17">
        <v>16</v>
      </c>
      <c r="D23" s="27" t="s">
        <v>14</v>
      </c>
      <c r="E23" s="15">
        <v>288351439</v>
      </c>
      <c r="F23" s="15">
        <v>25797870</v>
      </c>
      <c r="G23" s="15">
        <v>8593361</v>
      </c>
      <c r="H23" s="28">
        <f t="shared" si="2"/>
        <v>322742670</v>
      </c>
      <c r="I23" s="57">
        <v>229670691</v>
      </c>
      <c r="J23" s="51">
        <f t="shared" si="0"/>
        <v>19933947.109082829</v>
      </c>
      <c r="K23" s="51">
        <v>8593361</v>
      </c>
      <c r="L23" s="58">
        <f t="shared" si="3"/>
        <v>258197999.10908282</v>
      </c>
      <c r="M23" s="68">
        <f t="shared" si="4"/>
        <v>58680748</v>
      </c>
      <c r="N23" s="51">
        <f t="shared" si="5"/>
        <v>5863922.8909171708</v>
      </c>
      <c r="O23" s="70">
        <f t="shared" si="6"/>
        <v>64544670.890917167</v>
      </c>
      <c r="P23" s="75">
        <f t="shared" si="7"/>
        <v>322742670</v>
      </c>
      <c r="Q23" s="73">
        <f t="shared" si="8"/>
        <v>238264052</v>
      </c>
      <c r="R23" s="98">
        <f t="shared" si="1"/>
        <v>2.3814375907129526E-2</v>
      </c>
    </row>
    <row r="24" spans="2:18" x14ac:dyDescent="0.25">
      <c r="B24" s="64" t="s">
        <v>35</v>
      </c>
      <c r="C24" s="17">
        <v>18</v>
      </c>
      <c r="D24" s="27" t="s">
        <v>15</v>
      </c>
      <c r="E24" s="15">
        <v>480585732</v>
      </c>
      <c r="F24" s="15">
        <v>42996450</v>
      </c>
      <c r="G24" s="15">
        <v>14322268</v>
      </c>
      <c r="H24" s="28">
        <f t="shared" si="2"/>
        <v>537904450</v>
      </c>
      <c r="I24" s="57">
        <v>382784485</v>
      </c>
      <c r="J24" s="51">
        <f t="shared" si="0"/>
        <v>33223245.204848289</v>
      </c>
      <c r="K24" s="51">
        <v>14322268</v>
      </c>
      <c r="L24" s="58">
        <f t="shared" si="3"/>
        <v>430329998.20484829</v>
      </c>
      <c r="M24" s="68">
        <f t="shared" si="4"/>
        <v>97801247</v>
      </c>
      <c r="N24" s="51">
        <f t="shared" si="5"/>
        <v>9773204.7951517105</v>
      </c>
      <c r="O24" s="70">
        <f t="shared" si="6"/>
        <v>107574451.79515171</v>
      </c>
      <c r="P24" s="75">
        <f t="shared" si="7"/>
        <v>537904450</v>
      </c>
      <c r="Q24" s="73">
        <f t="shared" si="8"/>
        <v>397106753</v>
      </c>
      <c r="R24" s="98">
        <f t="shared" si="1"/>
        <v>3.9690626539411883E-2</v>
      </c>
    </row>
    <row r="25" spans="2:18" ht="24" x14ac:dyDescent="0.25">
      <c r="B25" s="64" t="s">
        <v>35</v>
      </c>
      <c r="C25" s="17">
        <v>18</v>
      </c>
      <c r="D25" s="27" t="s">
        <v>16</v>
      </c>
      <c r="E25" s="15">
        <v>168341928</v>
      </c>
      <c r="F25" s="15">
        <v>15061007</v>
      </c>
      <c r="G25" s="15">
        <v>5016874</v>
      </c>
      <c r="H25" s="28">
        <f t="shared" si="2"/>
        <v>188419809</v>
      </c>
      <c r="I25" s="57">
        <v>134083627</v>
      </c>
      <c r="J25" s="51">
        <f t="shared" si="0"/>
        <v>11637601.326459929</v>
      </c>
      <c r="K25" s="51">
        <v>5016874</v>
      </c>
      <c r="L25" s="58">
        <f t="shared" si="3"/>
        <v>150738102.32645994</v>
      </c>
      <c r="M25" s="68">
        <f t="shared" si="4"/>
        <v>34258301</v>
      </c>
      <c r="N25" s="51">
        <f t="shared" si="5"/>
        <v>3423405.6735400707</v>
      </c>
      <c r="O25" s="70">
        <f t="shared" si="6"/>
        <v>37681706.673540071</v>
      </c>
      <c r="P25" s="75">
        <f t="shared" si="7"/>
        <v>188419809</v>
      </c>
      <c r="Q25" s="73">
        <f t="shared" si="8"/>
        <v>139100501</v>
      </c>
      <c r="R25" s="98">
        <f t="shared" si="1"/>
        <v>1.3903027389861346E-2</v>
      </c>
    </row>
    <row r="26" spans="2:18" ht="24" x14ac:dyDescent="0.25">
      <c r="B26" s="64" t="s">
        <v>35</v>
      </c>
      <c r="C26" s="17">
        <v>19</v>
      </c>
      <c r="D26" s="27" t="s">
        <v>17</v>
      </c>
      <c r="E26" s="15">
        <v>480585732</v>
      </c>
      <c r="F26" s="15">
        <v>42996450</v>
      </c>
      <c r="G26" s="15">
        <v>14322268</v>
      </c>
      <c r="H26" s="28">
        <f t="shared" si="2"/>
        <v>537904450</v>
      </c>
      <c r="I26" s="57">
        <v>382784485</v>
      </c>
      <c r="J26" s="51">
        <f t="shared" si="0"/>
        <v>33223245.204848289</v>
      </c>
      <c r="K26" s="51">
        <v>14322268</v>
      </c>
      <c r="L26" s="58">
        <f t="shared" si="3"/>
        <v>430329998.20484829</v>
      </c>
      <c r="M26" s="68">
        <f t="shared" si="4"/>
        <v>97801247</v>
      </c>
      <c r="N26" s="51">
        <f t="shared" si="5"/>
        <v>9773204.7951517105</v>
      </c>
      <c r="O26" s="70">
        <f t="shared" si="6"/>
        <v>107574451.79515171</v>
      </c>
      <c r="P26" s="75">
        <f t="shared" si="7"/>
        <v>537904450</v>
      </c>
      <c r="Q26" s="73">
        <f t="shared" si="8"/>
        <v>397106753</v>
      </c>
      <c r="R26" s="98">
        <f t="shared" si="1"/>
        <v>3.9690626539411883E-2</v>
      </c>
    </row>
    <row r="27" spans="2:18" ht="24" x14ac:dyDescent="0.25">
      <c r="B27" s="64" t="s">
        <v>35</v>
      </c>
      <c r="C27" s="17">
        <v>20</v>
      </c>
      <c r="D27" s="27" t="s">
        <v>18</v>
      </c>
      <c r="E27" s="15">
        <v>576702878</v>
      </c>
      <c r="F27" s="15">
        <v>51595740</v>
      </c>
      <c r="G27" s="15">
        <v>17186722</v>
      </c>
      <c r="H27" s="28">
        <f t="shared" si="2"/>
        <v>645485340</v>
      </c>
      <c r="I27" s="57">
        <v>459341381</v>
      </c>
      <c r="J27" s="51">
        <f t="shared" si="0"/>
        <v>39867894.218165658</v>
      </c>
      <c r="K27" s="51">
        <v>17186722</v>
      </c>
      <c r="L27" s="58">
        <f t="shared" si="3"/>
        <v>516395997.21816564</v>
      </c>
      <c r="M27" s="68">
        <f t="shared" si="4"/>
        <v>117361497</v>
      </c>
      <c r="N27" s="51">
        <f t="shared" si="5"/>
        <v>11727845.781834342</v>
      </c>
      <c r="O27" s="70">
        <f t="shared" si="6"/>
        <v>129089342.78183433</v>
      </c>
      <c r="P27" s="75">
        <f t="shared" si="7"/>
        <v>645485340</v>
      </c>
      <c r="Q27" s="73">
        <f t="shared" si="8"/>
        <v>476528103</v>
      </c>
      <c r="R27" s="98">
        <f t="shared" si="1"/>
        <v>4.7628751814259053E-2</v>
      </c>
    </row>
    <row r="28" spans="2:18" ht="24" x14ac:dyDescent="0.25">
      <c r="B28" s="64" t="s">
        <v>35</v>
      </c>
      <c r="C28" s="17">
        <v>20</v>
      </c>
      <c r="D28" s="27" t="s">
        <v>19</v>
      </c>
      <c r="E28" s="15">
        <v>576702878</v>
      </c>
      <c r="F28" s="15">
        <v>51595740</v>
      </c>
      <c r="G28" s="15">
        <v>17186722</v>
      </c>
      <c r="H28" s="28">
        <f t="shared" si="2"/>
        <v>645485340</v>
      </c>
      <c r="I28" s="57">
        <v>459341381</v>
      </c>
      <c r="J28" s="51">
        <f t="shared" si="0"/>
        <v>39867894.218165658</v>
      </c>
      <c r="K28" s="51">
        <v>17186722</v>
      </c>
      <c r="L28" s="58">
        <f t="shared" si="3"/>
        <v>516395997.21816564</v>
      </c>
      <c r="M28" s="68">
        <f t="shared" si="4"/>
        <v>117361497</v>
      </c>
      <c r="N28" s="51">
        <f t="shared" si="5"/>
        <v>11727845.781834342</v>
      </c>
      <c r="O28" s="70">
        <f t="shared" si="6"/>
        <v>129089342.78183433</v>
      </c>
      <c r="P28" s="75">
        <f t="shared" si="7"/>
        <v>645485340</v>
      </c>
      <c r="Q28" s="73">
        <f t="shared" si="8"/>
        <v>476528103</v>
      </c>
      <c r="R28" s="98">
        <f t="shared" si="1"/>
        <v>4.7628751814259053E-2</v>
      </c>
    </row>
    <row r="29" spans="2:18" ht="24" x14ac:dyDescent="0.25">
      <c r="B29" s="64" t="s">
        <v>35</v>
      </c>
      <c r="C29" s="17">
        <v>1</v>
      </c>
      <c r="D29" s="27" t="s">
        <v>20</v>
      </c>
      <c r="E29" s="15">
        <v>576702878</v>
      </c>
      <c r="F29" s="15">
        <v>51595740</v>
      </c>
      <c r="G29" s="15">
        <v>17186722</v>
      </c>
      <c r="H29" s="28">
        <f t="shared" si="2"/>
        <v>645485340</v>
      </c>
      <c r="I29" s="57">
        <v>459341381</v>
      </c>
      <c r="J29" s="51">
        <f t="shared" si="0"/>
        <v>39867894.218165658</v>
      </c>
      <c r="K29" s="51">
        <v>17186722</v>
      </c>
      <c r="L29" s="58">
        <f t="shared" si="3"/>
        <v>516395997.21816564</v>
      </c>
      <c r="M29" s="68">
        <f t="shared" si="4"/>
        <v>117361497</v>
      </c>
      <c r="N29" s="51">
        <f t="shared" si="5"/>
        <v>11727845.781834342</v>
      </c>
      <c r="O29" s="70">
        <f t="shared" si="6"/>
        <v>129089342.78183433</v>
      </c>
      <c r="P29" s="75">
        <f t="shared" si="7"/>
        <v>645485340</v>
      </c>
      <c r="Q29" s="73">
        <f t="shared" si="8"/>
        <v>476528103</v>
      </c>
      <c r="R29" s="98">
        <f t="shared" si="1"/>
        <v>4.7628751814259053E-2</v>
      </c>
    </row>
    <row r="30" spans="2:18" ht="24" x14ac:dyDescent="0.25">
      <c r="B30" s="64" t="s">
        <v>35</v>
      </c>
      <c r="C30" s="17" t="s">
        <v>21</v>
      </c>
      <c r="D30" s="27" t="s">
        <v>22</v>
      </c>
      <c r="E30" s="15">
        <v>216263579</v>
      </c>
      <c r="F30" s="15">
        <v>19348402</v>
      </c>
      <c r="G30" s="15">
        <v>6445021</v>
      </c>
      <c r="H30" s="28">
        <f t="shared" si="2"/>
        <v>242057002</v>
      </c>
      <c r="I30" s="57">
        <v>172253018</v>
      </c>
      <c r="J30" s="51">
        <f t="shared" si="0"/>
        <v>14950460.314529436</v>
      </c>
      <c r="K30" s="51">
        <v>6445021</v>
      </c>
      <c r="L30" s="58">
        <f t="shared" si="3"/>
        <v>193648499.31452945</v>
      </c>
      <c r="M30" s="68">
        <f t="shared" si="4"/>
        <v>44010561</v>
      </c>
      <c r="N30" s="51">
        <f t="shared" si="5"/>
        <v>4397941.6854705643</v>
      </c>
      <c r="O30" s="70">
        <f t="shared" si="6"/>
        <v>48408502.685470566</v>
      </c>
      <c r="P30" s="75">
        <f t="shared" si="7"/>
        <v>242057002</v>
      </c>
      <c r="Q30" s="73">
        <f t="shared" si="8"/>
        <v>178698039</v>
      </c>
      <c r="R30" s="98">
        <f t="shared" si="1"/>
        <v>1.7860781909700137E-2</v>
      </c>
    </row>
    <row r="31" spans="2:18" ht="24" x14ac:dyDescent="0.25">
      <c r="B31" s="64" t="s">
        <v>35</v>
      </c>
      <c r="C31" s="17" t="s">
        <v>23</v>
      </c>
      <c r="D31" s="27" t="s">
        <v>24</v>
      </c>
      <c r="E31" s="15">
        <v>192234293</v>
      </c>
      <c r="F31" s="15">
        <v>17198580</v>
      </c>
      <c r="G31" s="15">
        <v>5728907</v>
      </c>
      <c r="H31" s="28">
        <f t="shared" si="2"/>
        <v>215161780</v>
      </c>
      <c r="I31" s="57">
        <v>153113794</v>
      </c>
      <c r="J31" s="51">
        <f t="shared" si="0"/>
        <v>13289298.095765464</v>
      </c>
      <c r="K31" s="51">
        <v>5728907</v>
      </c>
      <c r="L31" s="58">
        <f t="shared" si="3"/>
        <v>172131999.09576547</v>
      </c>
      <c r="M31" s="68">
        <f t="shared" si="4"/>
        <v>39120499</v>
      </c>
      <c r="N31" s="51">
        <f t="shared" si="5"/>
        <v>3909281.904234536</v>
      </c>
      <c r="O31" s="70">
        <f t="shared" si="6"/>
        <v>43029780.904234536</v>
      </c>
      <c r="P31" s="75">
        <f t="shared" si="7"/>
        <v>215161780</v>
      </c>
      <c r="Q31" s="73">
        <f t="shared" si="8"/>
        <v>158842701</v>
      </c>
      <c r="R31" s="98">
        <f t="shared" si="1"/>
        <v>1.587625063228236E-2</v>
      </c>
    </row>
    <row r="32" spans="2:18" ht="24" x14ac:dyDescent="0.25">
      <c r="B32" s="64" t="s">
        <v>35</v>
      </c>
      <c r="C32" s="17" t="s">
        <v>23</v>
      </c>
      <c r="D32" s="27" t="s">
        <v>25</v>
      </c>
      <c r="E32" s="15">
        <v>141571265</v>
      </c>
      <c r="F32" s="15">
        <v>12665923</v>
      </c>
      <c r="G32" s="15">
        <v>4219063</v>
      </c>
      <c r="H32" s="28">
        <f t="shared" si="2"/>
        <v>158456251</v>
      </c>
      <c r="I32" s="57">
        <v>112760908</v>
      </c>
      <c r="J32" s="51">
        <f t="shared" si="0"/>
        <v>9786925.6989418007</v>
      </c>
      <c r="K32" s="51">
        <v>4219063</v>
      </c>
      <c r="L32" s="58">
        <f t="shared" si="3"/>
        <v>126766896.6989418</v>
      </c>
      <c r="M32" s="68">
        <f t="shared" si="4"/>
        <v>28810357</v>
      </c>
      <c r="N32" s="51">
        <f t="shared" si="5"/>
        <v>2878997.3010581993</v>
      </c>
      <c r="O32" s="70">
        <f t="shared" si="6"/>
        <v>31689354.301058199</v>
      </c>
      <c r="P32" s="75">
        <f t="shared" si="7"/>
        <v>158456251</v>
      </c>
      <c r="Q32" s="73">
        <f t="shared" si="8"/>
        <v>116979971</v>
      </c>
      <c r="R32" s="98">
        <f t="shared" si="1"/>
        <v>1.1692091199717749E-2</v>
      </c>
    </row>
    <row r="33" spans="2:20" ht="24" x14ac:dyDescent="0.25">
      <c r="B33" s="64" t="s">
        <v>35</v>
      </c>
      <c r="C33" s="17" t="s">
        <v>26</v>
      </c>
      <c r="D33" s="27" t="s">
        <v>27</v>
      </c>
      <c r="E33" s="15">
        <v>480585732</v>
      </c>
      <c r="F33" s="15">
        <v>42996450</v>
      </c>
      <c r="G33" s="15">
        <v>14322268</v>
      </c>
      <c r="H33" s="28">
        <f t="shared" si="2"/>
        <v>537904450</v>
      </c>
      <c r="I33" s="57">
        <v>382784485</v>
      </c>
      <c r="J33" s="51">
        <f t="shared" si="0"/>
        <v>33223245.204848289</v>
      </c>
      <c r="K33" s="51">
        <v>14322268</v>
      </c>
      <c r="L33" s="58">
        <f t="shared" si="3"/>
        <v>430329998.20484829</v>
      </c>
      <c r="M33" s="68">
        <f t="shared" si="4"/>
        <v>97801247</v>
      </c>
      <c r="N33" s="51">
        <f t="shared" si="5"/>
        <v>9773204.7951517105</v>
      </c>
      <c r="O33" s="70">
        <f t="shared" si="6"/>
        <v>107574451.79515171</v>
      </c>
      <c r="P33" s="75">
        <f t="shared" si="7"/>
        <v>537904450</v>
      </c>
      <c r="Q33" s="73">
        <f t="shared" si="8"/>
        <v>397106753</v>
      </c>
      <c r="R33" s="98">
        <f t="shared" si="1"/>
        <v>3.9690626539411883E-2</v>
      </c>
    </row>
    <row r="34" spans="2:20" ht="24" x14ac:dyDescent="0.25">
      <c r="B34" s="64" t="s">
        <v>35</v>
      </c>
      <c r="C34" s="17" t="s">
        <v>28</v>
      </c>
      <c r="D34" s="27" t="s">
        <v>29</v>
      </c>
      <c r="E34" s="15">
        <v>384468586</v>
      </c>
      <c r="F34" s="15">
        <v>34397160</v>
      </c>
      <c r="G34" s="15">
        <v>11457815</v>
      </c>
      <c r="H34" s="28">
        <f t="shared" si="2"/>
        <v>430323561</v>
      </c>
      <c r="I34" s="57">
        <v>306227588</v>
      </c>
      <c r="J34" s="51">
        <f t="shared" si="0"/>
        <v>26578596.191530928</v>
      </c>
      <c r="K34" s="51">
        <v>11457815</v>
      </c>
      <c r="L34" s="58">
        <f t="shared" si="3"/>
        <v>344263999.19153094</v>
      </c>
      <c r="M34" s="68">
        <f t="shared" si="4"/>
        <v>78240998</v>
      </c>
      <c r="N34" s="51">
        <f t="shared" si="5"/>
        <v>7818563.808469072</v>
      </c>
      <c r="O34" s="70">
        <f t="shared" si="6"/>
        <v>86059561.808469072</v>
      </c>
      <c r="P34" s="75">
        <f t="shared" si="7"/>
        <v>430323561</v>
      </c>
      <c r="Q34" s="73">
        <f t="shared" si="8"/>
        <v>317685403</v>
      </c>
      <c r="R34" s="98">
        <f t="shared" si="1"/>
        <v>3.175250126456472E-2</v>
      </c>
    </row>
    <row r="35" spans="2:20" ht="24" x14ac:dyDescent="0.25">
      <c r="B35" s="64" t="s">
        <v>35</v>
      </c>
      <c r="C35" s="17" t="s">
        <v>30</v>
      </c>
      <c r="D35" s="27" t="s">
        <v>31</v>
      </c>
      <c r="E35" s="15">
        <v>192234296</v>
      </c>
      <c r="F35" s="15">
        <v>17198580</v>
      </c>
      <c r="G35" s="15">
        <v>5728907</v>
      </c>
      <c r="H35" s="28">
        <f t="shared" si="2"/>
        <v>215161783</v>
      </c>
      <c r="I35" s="57">
        <v>153113796</v>
      </c>
      <c r="J35" s="51">
        <f t="shared" si="0"/>
        <v>13289298.30315767</v>
      </c>
      <c r="K35" s="51">
        <v>5728907</v>
      </c>
      <c r="L35" s="58">
        <f t="shared" si="3"/>
        <v>172132001.30315766</v>
      </c>
      <c r="M35" s="68">
        <f t="shared" si="4"/>
        <v>39120500</v>
      </c>
      <c r="N35" s="51">
        <f t="shared" si="5"/>
        <v>3909281.6968423296</v>
      </c>
      <c r="O35" s="70">
        <f t="shared" si="6"/>
        <v>43029781.696842328</v>
      </c>
      <c r="P35" s="75">
        <f t="shared" si="7"/>
        <v>215161783</v>
      </c>
      <c r="Q35" s="73">
        <f t="shared" si="8"/>
        <v>158842703</v>
      </c>
      <c r="R35" s="98">
        <f t="shared" si="1"/>
        <v>1.5876250880046433E-2</v>
      </c>
    </row>
    <row r="36" spans="2:20" ht="24" x14ac:dyDescent="0.25">
      <c r="B36" s="64" t="s">
        <v>35</v>
      </c>
      <c r="C36" s="17" t="s">
        <v>32</v>
      </c>
      <c r="D36" s="27" t="s">
        <v>33</v>
      </c>
      <c r="E36" s="15">
        <v>480585732</v>
      </c>
      <c r="F36" s="15">
        <v>42996450</v>
      </c>
      <c r="G36" s="15">
        <v>14322268</v>
      </c>
      <c r="H36" s="28">
        <f t="shared" si="2"/>
        <v>537904450</v>
      </c>
      <c r="I36" s="57">
        <v>382784485</v>
      </c>
      <c r="J36" s="51">
        <f t="shared" si="0"/>
        <v>33223245.204848289</v>
      </c>
      <c r="K36" s="51">
        <v>14322268</v>
      </c>
      <c r="L36" s="58">
        <f t="shared" si="3"/>
        <v>430329998.20484829</v>
      </c>
      <c r="M36" s="68">
        <f t="shared" si="4"/>
        <v>97801247</v>
      </c>
      <c r="N36" s="51">
        <f t="shared" si="5"/>
        <v>9773204.7951517105</v>
      </c>
      <c r="O36" s="70">
        <f t="shared" si="6"/>
        <v>107574451.79515171</v>
      </c>
      <c r="P36" s="75">
        <f t="shared" si="7"/>
        <v>537904450</v>
      </c>
      <c r="Q36" s="73">
        <f t="shared" si="8"/>
        <v>397106753</v>
      </c>
      <c r="R36" s="98">
        <f t="shared" si="1"/>
        <v>3.9690626539411883E-2</v>
      </c>
    </row>
    <row r="37" spans="2:20" ht="24.75" thickBot="1" x14ac:dyDescent="0.3">
      <c r="B37" s="64" t="s">
        <v>35</v>
      </c>
      <c r="C37" s="17" t="s">
        <v>32</v>
      </c>
      <c r="D37" s="27" t="s">
        <v>34</v>
      </c>
      <c r="E37" s="15">
        <v>240292866</v>
      </c>
      <c r="F37" s="15">
        <v>21498221</v>
      </c>
      <c r="G37" s="15">
        <v>7161134</v>
      </c>
      <c r="H37" s="28">
        <f t="shared" si="2"/>
        <v>268952221</v>
      </c>
      <c r="I37" s="57">
        <v>191392247</v>
      </c>
      <c r="J37" s="51">
        <f t="shared" si="0"/>
        <v>16611622.602424145</v>
      </c>
      <c r="K37" s="51">
        <v>7161134</v>
      </c>
      <c r="L37" s="58">
        <f t="shared" si="3"/>
        <v>215165003.60242414</v>
      </c>
      <c r="M37" s="68">
        <f t="shared" si="4"/>
        <v>48900619</v>
      </c>
      <c r="N37" s="51">
        <f t="shared" si="5"/>
        <v>4886598.3975758553</v>
      </c>
      <c r="O37" s="70">
        <f t="shared" si="6"/>
        <v>53787217.397575855</v>
      </c>
      <c r="P37" s="76">
        <f t="shared" si="7"/>
        <v>268952221</v>
      </c>
      <c r="Q37" s="73">
        <f>+I37+K37</f>
        <v>198553381</v>
      </c>
      <c r="R37" s="98">
        <f t="shared" si="1"/>
        <v>1.9845313269705941E-2</v>
      </c>
    </row>
    <row r="38" spans="2:20" s="13" customFormat="1" ht="15.75" thickBot="1" x14ac:dyDescent="0.3">
      <c r="B38" s="100"/>
      <c r="C38" s="101"/>
      <c r="D38" s="29" t="s">
        <v>63</v>
      </c>
      <c r="E38" s="14">
        <f t="shared" ref="E38:J38" si="9">SUM(E11:E37)</f>
        <v>12108292912</v>
      </c>
      <c r="F38" s="14">
        <f t="shared" si="9"/>
        <v>1083289773</v>
      </c>
      <c r="G38" s="14">
        <f t="shared" si="9"/>
        <v>360847622</v>
      </c>
      <c r="H38" s="30">
        <f t="shared" si="9"/>
        <v>13552430307</v>
      </c>
      <c r="I38" s="48">
        <f t="shared" si="9"/>
        <v>9644203637</v>
      </c>
      <c r="J38" s="14">
        <f t="shared" si="9"/>
        <v>837055196.69381797</v>
      </c>
      <c r="K38" s="14">
        <f t="shared" ref="K38:N38" si="10">SUM(K11:K37)</f>
        <v>360847622</v>
      </c>
      <c r="L38" s="30">
        <f t="shared" si="10"/>
        <v>10842106455.693817</v>
      </c>
      <c r="M38" s="23">
        <f t="shared" si="10"/>
        <v>2464089275</v>
      </c>
      <c r="N38" s="14">
        <f t="shared" si="10"/>
        <v>246234576.30618188</v>
      </c>
      <c r="O38" s="16">
        <f>SUM(O11:O37)</f>
        <v>2710323851.3061819</v>
      </c>
      <c r="P38" s="77">
        <f>SUM(P11:P37)</f>
        <v>13552430307</v>
      </c>
      <c r="Q38" s="73">
        <f t="shared" si="8"/>
        <v>10005051259</v>
      </c>
      <c r="R38" s="9"/>
      <c r="S38" s="99">
        <f>+I38+K38+M38</f>
        <v>12469140534</v>
      </c>
      <c r="T38" s="99">
        <f>+J38+N38</f>
        <v>1083289772.9999998</v>
      </c>
    </row>
    <row r="39" spans="2:20" ht="24" x14ac:dyDescent="0.25">
      <c r="B39" s="65" t="s">
        <v>58</v>
      </c>
      <c r="C39" s="17">
        <v>2</v>
      </c>
      <c r="D39" s="27" t="s">
        <v>36</v>
      </c>
      <c r="E39" s="15">
        <v>480585732</v>
      </c>
      <c r="F39" s="15">
        <v>42984729</v>
      </c>
      <c r="G39" s="15">
        <v>14322268</v>
      </c>
      <c r="H39" s="28">
        <f t="shared" si="2"/>
        <v>537892729</v>
      </c>
      <c r="I39" s="57">
        <v>382784485</v>
      </c>
      <c r="J39" s="51">
        <f t="shared" ref="J39:J60" si="11">R39*$M$7</f>
        <v>33214188.900938611</v>
      </c>
      <c r="K39" s="51">
        <v>14322268</v>
      </c>
      <c r="L39" s="58">
        <f t="shared" si="3"/>
        <v>430320941.90093863</v>
      </c>
      <c r="M39" s="68">
        <f t="shared" si="4"/>
        <v>97801247</v>
      </c>
      <c r="N39" s="51">
        <f t="shared" si="5"/>
        <v>9770540.0990613885</v>
      </c>
      <c r="O39" s="70">
        <f t="shared" si="6"/>
        <v>107571787.09906138</v>
      </c>
      <c r="P39" s="74">
        <f t="shared" si="7"/>
        <v>537892729</v>
      </c>
      <c r="Q39" s="73">
        <f t="shared" si="8"/>
        <v>397106753</v>
      </c>
      <c r="R39" s="9">
        <f>E39/$E$61</f>
        <v>4.0000483375996723E-2</v>
      </c>
    </row>
    <row r="40" spans="2:20" ht="24" x14ac:dyDescent="0.25">
      <c r="B40" s="65" t="s">
        <v>58</v>
      </c>
      <c r="C40" s="17">
        <v>2</v>
      </c>
      <c r="D40" s="27" t="s">
        <v>37</v>
      </c>
      <c r="E40" s="15">
        <v>201763803</v>
      </c>
      <c r="F40" s="15">
        <v>18046234</v>
      </c>
      <c r="G40" s="15">
        <v>6012903</v>
      </c>
      <c r="H40" s="28">
        <f t="shared" si="2"/>
        <v>225822940</v>
      </c>
      <c r="I40" s="57">
        <v>160704008</v>
      </c>
      <c r="J40" s="51">
        <f t="shared" si="11"/>
        <v>13944278.03406732</v>
      </c>
      <c r="K40" s="51">
        <v>6012903</v>
      </c>
      <c r="L40" s="58">
        <f t="shared" si="3"/>
        <v>180661189.03406733</v>
      </c>
      <c r="M40" s="68">
        <f t="shared" si="4"/>
        <v>41059795</v>
      </c>
      <c r="N40" s="51">
        <f t="shared" si="5"/>
        <v>4101955.9659326803</v>
      </c>
      <c r="O40" s="70">
        <f t="shared" si="6"/>
        <v>45161750.965932682</v>
      </c>
      <c r="P40" s="75">
        <f t="shared" si="7"/>
        <v>225822940</v>
      </c>
      <c r="Q40" s="73">
        <f t="shared" si="8"/>
        <v>166716911</v>
      </c>
      <c r="R40" s="9">
        <f t="shared" ref="R40:R60" si="12">E40/$E$61</f>
        <v>1.6793360914383902E-2</v>
      </c>
    </row>
    <row r="41" spans="2:20" ht="24" x14ac:dyDescent="0.25">
      <c r="B41" s="65" t="s">
        <v>58</v>
      </c>
      <c r="C41" s="17">
        <v>2</v>
      </c>
      <c r="D41" s="27" t="s">
        <v>38</v>
      </c>
      <c r="E41" s="15">
        <v>339013676</v>
      </c>
      <c r="F41" s="15">
        <v>30322188</v>
      </c>
      <c r="G41" s="15">
        <v>10103181</v>
      </c>
      <c r="H41" s="28">
        <f t="shared" si="2"/>
        <v>379439045</v>
      </c>
      <c r="I41" s="57">
        <v>270022946</v>
      </c>
      <c r="J41" s="51">
        <f t="shared" si="11"/>
        <v>23429876.346527904</v>
      </c>
      <c r="K41" s="51">
        <v>10103181</v>
      </c>
      <c r="L41" s="58">
        <f t="shared" si="3"/>
        <v>303556003.34652793</v>
      </c>
      <c r="M41" s="68">
        <f t="shared" si="4"/>
        <v>68990730</v>
      </c>
      <c r="N41" s="51">
        <f t="shared" si="5"/>
        <v>6892311.6534720957</v>
      </c>
      <c r="O41" s="70">
        <f t="shared" si="6"/>
        <v>75883041.653472096</v>
      </c>
      <c r="P41" s="75">
        <f t="shared" si="7"/>
        <v>379439045</v>
      </c>
      <c r="Q41" s="73">
        <f t="shared" si="8"/>
        <v>280126127</v>
      </c>
      <c r="R41" s="9">
        <f t="shared" si="12"/>
        <v>2.8217048505871038E-2</v>
      </c>
    </row>
    <row r="42" spans="2:20" ht="24" x14ac:dyDescent="0.25">
      <c r="B42" s="65" t="s">
        <v>58</v>
      </c>
      <c r="C42" s="17">
        <v>3</v>
      </c>
      <c r="D42" s="27" t="s">
        <v>39</v>
      </c>
      <c r="E42" s="15">
        <v>384468586</v>
      </c>
      <c r="F42" s="15">
        <v>34387784</v>
      </c>
      <c r="G42" s="15">
        <v>11457815</v>
      </c>
      <c r="H42" s="28">
        <f t="shared" si="2"/>
        <v>430314185</v>
      </c>
      <c r="I42" s="57">
        <v>306227588</v>
      </c>
      <c r="J42" s="51">
        <f t="shared" si="11"/>
        <v>26571351.148395646</v>
      </c>
      <c r="K42" s="51">
        <v>11457815</v>
      </c>
      <c r="L42" s="58">
        <f t="shared" si="3"/>
        <v>344256754.14839566</v>
      </c>
      <c r="M42" s="68">
        <f t="shared" si="4"/>
        <v>78240998</v>
      </c>
      <c r="N42" s="51">
        <f t="shared" si="5"/>
        <v>7816432.8516043536</v>
      </c>
      <c r="O42" s="70">
        <f t="shared" si="6"/>
        <v>86057430.851604357</v>
      </c>
      <c r="P42" s="75">
        <f t="shared" si="7"/>
        <v>430314185</v>
      </c>
      <c r="Q42" s="73">
        <f t="shared" si="8"/>
        <v>317685403</v>
      </c>
      <c r="R42" s="9">
        <f t="shared" si="12"/>
        <v>3.2000386734090489E-2</v>
      </c>
    </row>
    <row r="43" spans="2:20" x14ac:dyDescent="0.25">
      <c r="B43" s="65" t="s">
        <v>58</v>
      </c>
      <c r="C43" s="17">
        <v>4</v>
      </c>
      <c r="D43" s="27" t="s">
        <v>40</v>
      </c>
      <c r="E43" s="15">
        <v>1537874342</v>
      </c>
      <c r="F43" s="15">
        <v>137551134</v>
      </c>
      <c r="G43" s="15">
        <v>45831258</v>
      </c>
      <c r="H43" s="28">
        <f t="shared" si="2"/>
        <v>1721256734</v>
      </c>
      <c r="I43" s="57">
        <v>1224910351</v>
      </c>
      <c r="J43" s="51">
        <f t="shared" si="11"/>
        <v>106285404.45535879</v>
      </c>
      <c r="K43" s="51">
        <v>45831258</v>
      </c>
      <c r="L43" s="58">
        <f t="shared" si="3"/>
        <v>1377027013.4553587</v>
      </c>
      <c r="M43" s="68">
        <f t="shared" si="4"/>
        <v>312963991</v>
      </c>
      <c r="N43" s="51">
        <f t="shared" si="5"/>
        <v>31265729.544641212</v>
      </c>
      <c r="O43" s="70">
        <f t="shared" si="6"/>
        <v>344229720.5446412</v>
      </c>
      <c r="P43" s="75">
        <f t="shared" si="7"/>
        <v>1721256734</v>
      </c>
      <c r="Q43" s="73">
        <f t="shared" si="8"/>
        <v>1270741609</v>
      </c>
      <c r="R43" s="9">
        <f t="shared" si="12"/>
        <v>0.12800154676989639</v>
      </c>
    </row>
    <row r="44" spans="2:20" x14ac:dyDescent="0.25">
      <c r="B44" s="65" t="s">
        <v>58</v>
      </c>
      <c r="C44" s="17">
        <v>4</v>
      </c>
      <c r="D44" s="27" t="s">
        <v>41</v>
      </c>
      <c r="E44" s="15">
        <v>480585732</v>
      </c>
      <c r="F44" s="15">
        <v>42984729</v>
      </c>
      <c r="G44" s="15">
        <v>14322268</v>
      </c>
      <c r="H44" s="28">
        <f t="shared" si="2"/>
        <v>537892729</v>
      </c>
      <c r="I44" s="57">
        <v>382784485</v>
      </c>
      <c r="J44" s="51">
        <f t="shared" si="11"/>
        <v>33214188.900938611</v>
      </c>
      <c r="K44" s="51">
        <v>14322268</v>
      </c>
      <c r="L44" s="58">
        <f t="shared" si="3"/>
        <v>430320941.90093863</v>
      </c>
      <c r="M44" s="68">
        <f t="shared" si="4"/>
        <v>97801247</v>
      </c>
      <c r="N44" s="51">
        <f t="shared" si="5"/>
        <v>9770540.0990613885</v>
      </c>
      <c r="O44" s="70">
        <f t="shared" si="6"/>
        <v>107571787.09906138</v>
      </c>
      <c r="P44" s="75">
        <f t="shared" si="7"/>
        <v>537892729</v>
      </c>
      <c r="Q44" s="73">
        <f t="shared" si="8"/>
        <v>397106753</v>
      </c>
      <c r="R44" s="9">
        <f t="shared" si="12"/>
        <v>4.0000483375996723E-2</v>
      </c>
    </row>
    <row r="45" spans="2:20" ht="24" x14ac:dyDescent="0.25">
      <c r="B45" s="65" t="s">
        <v>58</v>
      </c>
      <c r="C45" s="17">
        <v>4</v>
      </c>
      <c r="D45" s="27" t="s">
        <v>42</v>
      </c>
      <c r="E45" s="15">
        <v>480585732</v>
      </c>
      <c r="F45" s="15">
        <v>42984729</v>
      </c>
      <c r="G45" s="15">
        <v>14322268</v>
      </c>
      <c r="H45" s="28">
        <f t="shared" si="2"/>
        <v>537892729</v>
      </c>
      <c r="I45" s="57">
        <v>382784485</v>
      </c>
      <c r="J45" s="51">
        <f t="shared" si="11"/>
        <v>33214188.900938611</v>
      </c>
      <c r="K45" s="51">
        <v>14322268</v>
      </c>
      <c r="L45" s="58">
        <f t="shared" si="3"/>
        <v>430320941.90093863</v>
      </c>
      <c r="M45" s="68">
        <f t="shared" si="4"/>
        <v>97801247</v>
      </c>
      <c r="N45" s="51">
        <f t="shared" si="5"/>
        <v>9770540.0990613885</v>
      </c>
      <c r="O45" s="70">
        <f t="shared" si="6"/>
        <v>107571787.09906138</v>
      </c>
      <c r="P45" s="75">
        <f t="shared" si="7"/>
        <v>537892729</v>
      </c>
      <c r="Q45" s="73">
        <f t="shared" si="8"/>
        <v>397106753</v>
      </c>
      <c r="R45" s="9">
        <f t="shared" si="12"/>
        <v>4.0000483375996723E-2</v>
      </c>
    </row>
    <row r="46" spans="2:20" ht="24" x14ac:dyDescent="0.25">
      <c r="B46" s="65" t="s">
        <v>58</v>
      </c>
      <c r="C46" s="17">
        <v>4</v>
      </c>
      <c r="D46" s="27" t="s">
        <v>43</v>
      </c>
      <c r="E46" s="15">
        <v>515998531</v>
      </c>
      <c r="F46" s="15">
        <v>46152134</v>
      </c>
      <c r="G46" s="15">
        <v>15377630</v>
      </c>
      <c r="H46" s="28">
        <f t="shared" si="2"/>
        <v>577528295</v>
      </c>
      <c r="I46" s="57">
        <v>410990628</v>
      </c>
      <c r="J46" s="51">
        <f t="shared" si="11"/>
        <v>35661634.418311916</v>
      </c>
      <c r="K46" s="51">
        <v>15377630</v>
      </c>
      <c r="L46" s="58">
        <f t="shared" si="3"/>
        <v>462029892.41831189</v>
      </c>
      <c r="M46" s="68">
        <f t="shared" si="4"/>
        <v>105007903</v>
      </c>
      <c r="N46" s="51">
        <f t="shared" si="5"/>
        <v>10490499.581688084</v>
      </c>
      <c r="O46" s="70">
        <f t="shared" si="6"/>
        <v>115498402.58168808</v>
      </c>
      <c r="P46" s="75">
        <f t="shared" si="7"/>
        <v>577528295</v>
      </c>
      <c r="Q46" s="73">
        <f t="shared" si="8"/>
        <v>426368258</v>
      </c>
      <c r="R46" s="9">
        <f t="shared" si="12"/>
        <v>4.2947988853951721E-2</v>
      </c>
    </row>
    <row r="47" spans="2:20" ht="24" x14ac:dyDescent="0.25">
      <c r="B47" s="65" t="s">
        <v>58</v>
      </c>
      <c r="C47" s="17">
        <v>4</v>
      </c>
      <c r="D47" s="27" t="s">
        <v>44</v>
      </c>
      <c r="E47" s="15">
        <v>461339049</v>
      </c>
      <c r="F47" s="15">
        <v>41263260</v>
      </c>
      <c r="G47" s="15">
        <v>13748684</v>
      </c>
      <c r="H47" s="28">
        <f t="shared" si="2"/>
        <v>516350993</v>
      </c>
      <c r="I47" s="57">
        <v>367454584</v>
      </c>
      <c r="J47" s="51">
        <f t="shared" si="11"/>
        <v>31884014.236330625</v>
      </c>
      <c r="K47" s="51">
        <v>13748684</v>
      </c>
      <c r="L47" s="58">
        <f t="shared" si="3"/>
        <v>413087282.23633063</v>
      </c>
      <c r="M47" s="68">
        <f t="shared" si="4"/>
        <v>93884465</v>
      </c>
      <c r="N47" s="51">
        <f t="shared" si="5"/>
        <v>9379245.7636693753</v>
      </c>
      <c r="O47" s="70">
        <f t="shared" si="6"/>
        <v>103263710.76366937</v>
      </c>
      <c r="P47" s="75">
        <f t="shared" si="7"/>
        <v>516350993</v>
      </c>
      <c r="Q47" s="73">
        <f t="shared" si="8"/>
        <v>381203268</v>
      </c>
      <c r="R47" s="9">
        <f t="shared" si="12"/>
        <v>3.8398528569347203E-2</v>
      </c>
    </row>
    <row r="48" spans="2:20" ht="24" x14ac:dyDescent="0.25">
      <c r="B48" s="65" t="s">
        <v>58</v>
      </c>
      <c r="C48" s="17">
        <v>5</v>
      </c>
      <c r="D48" s="27" t="s">
        <v>45</v>
      </c>
      <c r="E48" s="15">
        <v>384468586</v>
      </c>
      <c r="F48" s="15">
        <v>34387784</v>
      </c>
      <c r="G48" s="15">
        <v>11457815</v>
      </c>
      <c r="H48" s="28">
        <f t="shared" si="2"/>
        <v>430314185</v>
      </c>
      <c r="I48" s="57">
        <v>306227588</v>
      </c>
      <c r="J48" s="51">
        <f t="shared" si="11"/>
        <v>26571351.148395646</v>
      </c>
      <c r="K48" s="51">
        <v>11457815</v>
      </c>
      <c r="L48" s="58">
        <f t="shared" si="3"/>
        <v>344256754.14839566</v>
      </c>
      <c r="M48" s="68">
        <f t="shared" si="4"/>
        <v>78240998</v>
      </c>
      <c r="N48" s="51">
        <f t="shared" si="5"/>
        <v>7816432.8516043536</v>
      </c>
      <c r="O48" s="70">
        <f t="shared" si="6"/>
        <v>86057430.851604357</v>
      </c>
      <c r="P48" s="75">
        <f t="shared" si="7"/>
        <v>430314185</v>
      </c>
      <c r="Q48" s="73">
        <f t="shared" si="8"/>
        <v>317685403</v>
      </c>
      <c r="R48" s="9">
        <f t="shared" si="12"/>
        <v>3.2000386734090489E-2</v>
      </c>
    </row>
    <row r="49" spans="2:20" ht="24" x14ac:dyDescent="0.25">
      <c r="B49" s="65" t="s">
        <v>58</v>
      </c>
      <c r="C49" s="17">
        <v>5</v>
      </c>
      <c r="D49" s="27" t="s">
        <v>46</v>
      </c>
      <c r="E49" s="15">
        <v>576702878</v>
      </c>
      <c r="F49" s="15">
        <v>51581675</v>
      </c>
      <c r="G49" s="15">
        <v>17186722</v>
      </c>
      <c r="H49" s="28">
        <f t="shared" si="2"/>
        <v>645471275</v>
      </c>
      <c r="I49" s="57">
        <v>459341381</v>
      </c>
      <c r="J49" s="51">
        <f t="shared" si="11"/>
        <v>39857026.653481573</v>
      </c>
      <c r="K49" s="51">
        <v>17186722</v>
      </c>
      <c r="L49" s="58">
        <f t="shared" si="3"/>
        <v>516385129.6534816</v>
      </c>
      <c r="M49" s="68">
        <f t="shared" si="4"/>
        <v>117361497</v>
      </c>
      <c r="N49" s="51">
        <f t="shared" si="5"/>
        <v>11724648.346518427</v>
      </c>
      <c r="O49" s="70">
        <f t="shared" si="6"/>
        <v>129086145.34651843</v>
      </c>
      <c r="P49" s="75">
        <f t="shared" si="7"/>
        <v>645471275</v>
      </c>
      <c r="Q49" s="73">
        <f t="shared" si="8"/>
        <v>476528103</v>
      </c>
      <c r="R49" s="9">
        <f t="shared" si="12"/>
        <v>4.8000580017902958E-2</v>
      </c>
    </row>
    <row r="50" spans="2:20" ht="24" x14ac:dyDescent="0.25">
      <c r="B50" s="65" t="s">
        <v>58</v>
      </c>
      <c r="C50" s="17">
        <v>6</v>
      </c>
      <c r="D50" s="27" t="s">
        <v>47</v>
      </c>
      <c r="E50" s="15">
        <v>576702878</v>
      </c>
      <c r="F50" s="15">
        <v>51581675</v>
      </c>
      <c r="G50" s="15">
        <v>17186722</v>
      </c>
      <c r="H50" s="28">
        <f t="shared" si="2"/>
        <v>645471275</v>
      </c>
      <c r="I50" s="57">
        <v>459341381</v>
      </c>
      <c r="J50" s="51">
        <f t="shared" si="11"/>
        <v>39857026.653481573</v>
      </c>
      <c r="K50" s="51">
        <v>17186722</v>
      </c>
      <c r="L50" s="58">
        <f t="shared" si="3"/>
        <v>516385129.6534816</v>
      </c>
      <c r="M50" s="68">
        <f t="shared" si="4"/>
        <v>117361497</v>
      </c>
      <c r="N50" s="51">
        <f t="shared" si="5"/>
        <v>11724648.346518427</v>
      </c>
      <c r="O50" s="70">
        <f t="shared" si="6"/>
        <v>129086145.34651843</v>
      </c>
      <c r="P50" s="75">
        <f t="shared" si="7"/>
        <v>645471275</v>
      </c>
      <c r="Q50" s="73">
        <f t="shared" si="8"/>
        <v>476528103</v>
      </c>
      <c r="R50" s="9">
        <f t="shared" si="12"/>
        <v>4.8000580017902958E-2</v>
      </c>
    </row>
    <row r="51" spans="2:20" ht="24" x14ac:dyDescent="0.25">
      <c r="B51" s="65" t="s">
        <v>58</v>
      </c>
      <c r="C51" s="17">
        <v>6</v>
      </c>
      <c r="D51" s="27" t="s">
        <v>48</v>
      </c>
      <c r="E51" s="15">
        <v>219691639</v>
      </c>
      <c r="F51" s="15">
        <v>19649742</v>
      </c>
      <c r="G51" s="15">
        <v>6547183</v>
      </c>
      <c r="H51" s="28">
        <f t="shared" si="2"/>
        <v>245888564</v>
      </c>
      <c r="I51" s="57">
        <v>174983453</v>
      </c>
      <c r="J51" s="51">
        <f t="shared" si="11"/>
        <v>15183304.688085936</v>
      </c>
      <c r="K51" s="51">
        <v>6547183</v>
      </c>
      <c r="L51" s="58">
        <f t="shared" si="3"/>
        <v>196713940.68808594</v>
      </c>
      <c r="M51" s="68">
        <f t="shared" si="4"/>
        <v>44708186</v>
      </c>
      <c r="N51" s="51">
        <f t="shared" si="5"/>
        <v>4466437.311914064</v>
      </c>
      <c r="O51" s="70">
        <f t="shared" si="6"/>
        <v>49174623.311914064</v>
      </c>
      <c r="P51" s="75">
        <f t="shared" si="7"/>
        <v>245888564</v>
      </c>
      <c r="Q51" s="73">
        <f t="shared" si="8"/>
        <v>181530636</v>
      </c>
      <c r="R51" s="9">
        <f t="shared" si="12"/>
        <v>1.8285544427409203E-2</v>
      </c>
    </row>
    <row r="52" spans="2:20" ht="24" x14ac:dyDescent="0.25">
      <c r="B52" s="65" t="s">
        <v>58</v>
      </c>
      <c r="C52" s="17">
        <v>6</v>
      </c>
      <c r="D52" s="27" t="s">
        <v>49</v>
      </c>
      <c r="E52" s="15">
        <v>482788851</v>
      </c>
      <c r="F52" s="15">
        <v>43181782</v>
      </c>
      <c r="G52" s="15">
        <v>14387925</v>
      </c>
      <c r="H52" s="28">
        <f t="shared" si="2"/>
        <v>540358558</v>
      </c>
      <c r="I52" s="57">
        <v>384539260</v>
      </c>
      <c r="J52" s="51">
        <f t="shared" si="11"/>
        <v>33366450.621927962</v>
      </c>
      <c r="K52" s="51">
        <v>14387925</v>
      </c>
      <c r="L52" s="58">
        <f t="shared" si="3"/>
        <v>432293635.62192798</v>
      </c>
      <c r="M52" s="68">
        <f t="shared" si="4"/>
        <v>98249591</v>
      </c>
      <c r="N52" s="51">
        <f t="shared" si="5"/>
        <v>9815331.3780720383</v>
      </c>
      <c r="O52" s="70">
        <f t="shared" si="6"/>
        <v>108064922.37807204</v>
      </c>
      <c r="P52" s="75">
        <f t="shared" si="7"/>
        <v>540358558</v>
      </c>
      <c r="Q52" s="73">
        <f t="shared" si="8"/>
        <v>398927185</v>
      </c>
      <c r="R52" s="9">
        <f t="shared" si="12"/>
        <v>4.0183855080704017E-2</v>
      </c>
    </row>
    <row r="53" spans="2:20" ht="24" x14ac:dyDescent="0.25">
      <c r="B53" s="65" t="s">
        <v>58</v>
      </c>
      <c r="C53" s="17">
        <v>7</v>
      </c>
      <c r="D53" s="27" t="s">
        <v>50</v>
      </c>
      <c r="E53" s="15">
        <v>576702878</v>
      </c>
      <c r="F53" s="15">
        <v>51581675</v>
      </c>
      <c r="G53" s="15">
        <v>17186722</v>
      </c>
      <c r="H53" s="28">
        <f t="shared" si="2"/>
        <v>645471275</v>
      </c>
      <c r="I53" s="57">
        <v>459341381</v>
      </c>
      <c r="J53" s="51">
        <f t="shared" si="11"/>
        <v>39857026.653481573</v>
      </c>
      <c r="K53" s="51">
        <v>17186722</v>
      </c>
      <c r="L53" s="58">
        <f t="shared" si="3"/>
        <v>516385129.6534816</v>
      </c>
      <c r="M53" s="68">
        <f t="shared" si="4"/>
        <v>117361497</v>
      </c>
      <c r="N53" s="51">
        <f t="shared" si="5"/>
        <v>11724648.346518427</v>
      </c>
      <c r="O53" s="70">
        <f t="shared" si="6"/>
        <v>129086145.34651843</v>
      </c>
      <c r="P53" s="75">
        <f t="shared" si="7"/>
        <v>645471275</v>
      </c>
      <c r="Q53" s="73">
        <f t="shared" si="8"/>
        <v>476528103</v>
      </c>
      <c r="R53" s="9">
        <f t="shared" si="12"/>
        <v>4.8000580017902958E-2</v>
      </c>
    </row>
    <row r="54" spans="2:20" ht="24" x14ac:dyDescent="0.25">
      <c r="B54" s="65" t="s">
        <v>58</v>
      </c>
      <c r="C54" s="17">
        <v>7</v>
      </c>
      <c r="D54" s="27" t="s">
        <v>51</v>
      </c>
      <c r="E54" s="15">
        <v>384468586</v>
      </c>
      <c r="F54" s="15">
        <v>34387784</v>
      </c>
      <c r="G54" s="15">
        <v>11457815</v>
      </c>
      <c r="H54" s="28">
        <f t="shared" si="2"/>
        <v>430314185</v>
      </c>
      <c r="I54" s="57">
        <v>306227588</v>
      </c>
      <c r="J54" s="51">
        <f t="shared" si="11"/>
        <v>26571351.148395646</v>
      </c>
      <c r="K54" s="51">
        <v>11457815</v>
      </c>
      <c r="L54" s="58">
        <f t="shared" si="3"/>
        <v>344256754.14839566</v>
      </c>
      <c r="M54" s="68">
        <f t="shared" si="4"/>
        <v>78240998</v>
      </c>
      <c r="N54" s="51">
        <f t="shared" si="5"/>
        <v>7816432.8516043536</v>
      </c>
      <c r="O54" s="70">
        <f t="shared" si="6"/>
        <v>86057430.851604357</v>
      </c>
      <c r="P54" s="75">
        <f t="shared" si="7"/>
        <v>430314185</v>
      </c>
      <c r="Q54" s="73">
        <f t="shared" si="8"/>
        <v>317685403</v>
      </c>
      <c r="R54" s="9">
        <f t="shared" si="12"/>
        <v>3.2000386734090489E-2</v>
      </c>
    </row>
    <row r="55" spans="2:20" ht="24" x14ac:dyDescent="0.25">
      <c r="B55" s="65" t="s">
        <v>58</v>
      </c>
      <c r="C55" s="17">
        <v>7</v>
      </c>
      <c r="D55" s="27" t="s">
        <v>52</v>
      </c>
      <c r="E55" s="15">
        <v>597651659</v>
      </c>
      <c r="F55" s="15">
        <v>53455384</v>
      </c>
      <c r="G55" s="15">
        <v>17811031</v>
      </c>
      <c r="H55" s="28">
        <f t="shared" si="2"/>
        <v>668918074</v>
      </c>
      <c r="I55" s="57">
        <v>476026996</v>
      </c>
      <c r="J55" s="51">
        <f t="shared" si="11"/>
        <v>41304836.530155964</v>
      </c>
      <c r="K55" s="51">
        <v>17811031</v>
      </c>
      <c r="L55" s="58">
        <f t="shared" si="3"/>
        <v>535142863.53015596</v>
      </c>
      <c r="M55" s="68">
        <f t="shared" si="4"/>
        <v>121624663</v>
      </c>
      <c r="N55" s="51">
        <f t="shared" si="5"/>
        <v>12150547.469844036</v>
      </c>
      <c r="O55" s="70">
        <f t="shared" si="6"/>
        <v>133775210.46984404</v>
      </c>
      <c r="P55" s="75">
        <f t="shared" si="7"/>
        <v>668918074</v>
      </c>
      <c r="Q55" s="73">
        <f t="shared" si="8"/>
        <v>493838027</v>
      </c>
      <c r="R55" s="9">
        <f t="shared" si="12"/>
        <v>4.9744205161851039E-2</v>
      </c>
    </row>
    <row r="56" spans="2:20" ht="24" x14ac:dyDescent="0.25">
      <c r="B56" s="65" t="s">
        <v>58</v>
      </c>
      <c r="C56" s="17">
        <v>8</v>
      </c>
      <c r="D56" s="27" t="s">
        <v>53</v>
      </c>
      <c r="E56" s="15">
        <v>672820025</v>
      </c>
      <c r="F56" s="15">
        <v>60178621</v>
      </c>
      <c r="G56" s="15">
        <v>20051175</v>
      </c>
      <c r="H56" s="28">
        <f t="shared" si="2"/>
        <v>753049821</v>
      </c>
      <c r="I56" s="57">
        <v>535898279</v>
      </c>
      <c r="J56" s="51">
        <f t="shared" si="11"/>
        <v>46499864.475136429</v>
      </c>
      <c r="K56" s="51">
        <v>20051175</v>
      </c>
      <c r="L56" s="58">
        <f t="shared" si="3"/>
        <v>602449318.4751364</v>
      </c>
      <c r="M56" s="68">
        <f t="shared" si="4"/>
        <v>136921746</v>
      </c>
      <c r="N56" s="51">
        <f t="shared" si="5"/>
        <v>13678756.524863571</v>
      </c>
      <c r="O56" s="70">
        <f t="shared" si="6"/>
        <v>150600502.52486357</v>
      </c>
      <c r="P56" s="75">
        <f t="shared" si="7"/>
        <v>753049821</v>
      </c>
      <c r="Q56" s="73">
        <f t="shared" si="8"/>
        <v>555949454</v>
      </c>
      <c r="R56" s="9">
        <f t="shared" si="12"/>
        <v>5.6000676743041967E-2</v>
      </c>
    </row>
    <row r="57" spans="2:20" ht="24" x14ac:dyDescent="0.25">
      <c r="B57" s="65" t="s">
        <v>58</v>
      </c>
      <c r="C57" s="17">
        <v>8</v>
      </c>
      <c r="D57" s="27" t="s">
        <v>54</v>
      </c>
      <c r="E57" s="15">
        <v>576702878</v>
      </c>
      <c r="F57" s="15">
        <v>51581675</v>
      </c>
      <c r="G57" s="15">
        <v>17186722</v>
      </c>
      <c r="H57" s="28">
        <f t="shared" si="2"/>
        <v>645471275</v>
      </c>
      <c r="I57" s="57">
        <v>459341381</v>
      </c>
      <c r="J57" s="51">
        <f t="shared" si="11"/>
        <v>39857026.653481573</v>
      </c>
      <c r="K57" s="51">
        <v>17186722</v>
      </c>
      <c r="L57" s="58">
        <f t="shared" si="3"/>
        <v>516385129.6534816</v>
      </c>
      <c r="M57" s="68">
        <f t="shared" si="4"/>
        <v>117361497</v>
      </c>
      <c r="N57" s="51">
        <f t="shared" si="5"/>
        <v>11724648.346518427</v>
      </c>
      <c r="O57" s="70">
        <f t="shared" si="6"/>
        <v>129086145.34651843</v>
      </c>
      <c r="P57" s="75">
        <f t="shared" si="7"/>
        <v>645471275</v>
      </c>
      <c r="Q57" s="73">
        <f t="shared" si="8"/>
        <v>476528103</v>
      </c>
      <c r="R57" s="9">
        <f t="shared" si="12"/>
        <v>4.8000580017902958E-2</v>
      </c>
    </row>
    <row r="58" spans="2:20" ht="24" x14ac:dyDescent="0.25">
      <c r="B58" s="65" t="s">
        <v>58</v>
      </c>
      <c r="C58" s="17">
        <v>8</v>
      </c>
      <c r="D58" s="27" t="s">
        <v>55</v>
      </c>
      <c r="E58" s="15">
        <v>576702878</v>
      </c>
      <c r="F58" s="15">
        <v>51581675</v>
      </c>
      <c r="G58" s="15">
        <v>17186722</v>
      </c>
      <c r="H58" s="28">
        <f t="shared" si="2"/>
        <v>645471275</v>
      </c>
      <c r="I58" s="57">
        <v>459341381</v>
      </c>
      <c r="J58" s="51">
        <f t="shared" si="11"/>
        <v>39857026.653481573</v>
      </c>
      <c r="K58" s="51">
        <v>17186722</v>
      </c>
      <c r="L58" s="58">
        <f t="shared" si="3"/>
        <v>516385129.6534816</v>
      </c>
      <c r="M58" s="68">
        <f t="shared" si="4"/>
        <v>117361497</v>
      </c>
      <c r="N58" s="51">
        <f t="shared" si="5"/>
        <v>11724648.346518427</v>
      </c>
      <c r="O58" s="70">
        <f t="shared" si="6"/>
        <v>129086145.34651843</v>
      </c>
      <c r="P58" s="75">
        <f t="shared" si="7"/>
        <v>645471275</v>
      </c>
      <c r="Q58" s="73">
        <f t="shared" si="8"/>
        <v>476528103</v>
      </c>
      <c r="R58" s="9">
        <f t="shared" si="12"/>
        <v>4.8000580017902958E-2</v>
      </c>
    </row>
    <row r="59" spans="2:20" ht="36" x14ac:dyDescent="0.25">
      <c r="B59" s="65" t="s">
        <v>58</v>
      </c>
      <c r="C59" s="17">
        <v>8</v>
      </c>
      <c r="D59" s="27" t="s">
        <v>56</v>
      </c>
      <c r="E59" s="15">
        <v>353473436</v>
      </c>
      <c r="F59" s="15">
        <v>31615504</v>
      </c>
      <c r="G59" s="15">
        <v>10534107</v>
      </c>
      <c r="H59" s="28">
        <f t="shared" si="2"/>
        <v>395623047</v>
      </c>
      <c r="I59" s="57">
        <v>281540083</v>
      </c>
      <c r="J59" s="51">
        <f t="shared" si="11"/>
        <v>24429217.708793391</v>
      </c>
      <c r="K59" s="51">
        <v>10534107</v>
      </c>
      <c r="L59" s="58">
        <f t="shared" si="3"/>
        <v>316503407.7087934</v>
      </c>
      <c r="M59" s="68">
        <f t="shared" si="4"/>
        <v>71933353</v>
      </c>
      <c r="N59" s="51">
        <f t="shared" si="5"/>
        <v>7186286.2912066095</v>
      </c>
      <c r="O59" s="70">
        <f t="shared" si="6"/>
        <v>79119639.291206613</v>
      </c>
      <c r="P59" s="75">
        <f t="shared" si="7"/>
        <v>395623047</v>
      </c>
      <c r="Q59" s="73">
        <f t="shared" si="8"/>
        <v>292074190</v>
      </c>
      <c r="R59" s="9">
        <f t="shared" si="12"/>
        <v>2.9420574434728414E-2</v>
      </c>
    </row>
    <row r="60" spans="2:20" ht="24.75" thickBot="1" x14ac:dyDescent="0.3">
      <c r="B60" s="66" t="s">
        <v>58</v>
      </c>
      <c r="C60" s="18">
        <v>9</v>
      </c>
      <c r="D60" s="69" t="s">
        <v>57</v>
      </c>
      <c r="E60" s="21">
        <v>1153405757</v>
      </c>
      <c r="F60" s="21">
        <v>103163353</v>
      </c>
      <c r="G60" s="21">
        <v>34373442</v>
      </c>
      <c r="H60" s="82">
        <f t="shared" si="2"/>
        <v>1290942552</v>
      </c>
      <c r="I60" s="83">
        <v>918682766</v>
      </c>
      <c r="J60" s="84">
        <f t="shared" si="11"/>
        <v>79714053.376075044</v>
      </c>
      <c r="K60" s="84">
        <v>34373442</v>
      </c>
      <c r="L60" s="85">
        <f t="shared" si="3"/>
        <v>1032770261.376075</v>
      </c>
      <c r="M60" s="86">
        <f t="shared" si="4"/>
        <v>234722991</v>
      </c>
      <c r="N60" s="84">
        <f t="shared" si="5"/>
        <v>23449299.623924956</v>
      </c>
      <c r="O60" s="87">
        <f t="shared" si="6"/>
        <v>258172290.62392497</v>
      </c>
      <c r="P60" s="88">
        <f t="shared" si="7"/>
        <v>1290942552</v>
      </c>
      <c r="Q60" s="73">
        <f t="shared" si="8"/>
        <v>953056208</v>
      </c>
      <c r="R60" s="9">
        <f t="shared" si="12"/>
        <v>9.6001160119038684E-2</v>
      </c>
    </row>
    <row r="61" spans="2:20" ht="15.75" thickBot="1" x14ac:dyDescent="0.3">
      <c r="C61" s="12"/>
      <c r="D61" s="81" t="s">
        <v>64</v>
      </c>
      <c r="E61" s="92">
        <f>SUM(E39:E60)</f>
        <v>12014498112</v>
      </c>
      <c r="F61" s="93">
        <f t="shared" ref="F61:H61" si="13">SUM(F39:F60)</f>
        <v>1074605250</v>
      </c>
      <c r="G61" s="93">
        <f t="shared" si="13"/>
        <v>358052378</v>
      </c>
      <c r="H61" s="94">
        <f t="shared" si="13"/>
        <v>13447155740</v>
      </c>
      <c r="I61" s="92">
        <f>SUM(I39:I60)</f>
        <v>9569496478</v>
      </c>
      <c r="J61" s="93">
        <f t="shared" ref="J61" si="14">SUM(J39:J60)</f>
        <v>830344688.30618203</v>
      </c>
      <c r="K61" s="93">
        <f t="shared" ref="K61" si="15">SUM(K39:K60)</f>
        <v>358052378</v>
      </c>
      <c r="L61" s="94">
        <f t="shared" ref="L61" si="16">SUM(L39:L60)</f>
        <v>10757893544.306185</v>
      </c>
      <c r="M61" s="93">
        <f t="shared" ref="M61" si="17">SUM(M39:M60)</f>
        <v>2445001634</v>
      </c>
      <c r="N61" s="93">
        <f t="shared" ref="N61" si="18">SUM(N39:N60)</f>
        <v>244260561.69381809</v>
      </c>
      <c r="O61" s="95">
        <f t="shared" ref="O61:P61" si="19">SUM(O39:O60)</f>
        <v>2689262195.693819</v>
      </c>
      <c r="P61" s="96">
        <f t="shared" si="19"/>
        <v>13447155740</v>
      </c>
      <c r="Q61" s="73">
        <f t="shared" si="8"/>
        <v>9927548856</v>
      </c>
      <c r="S61" s="99">
        <f>+I61+K61+M61</f>
        <v>12372550490</v>
      </c>
      <c r="T61" s="99">
        <f>+J61+N61</f>
        <v>1074605250</v>
      </c>
    </row>
    <row r="62" spans="2:20" ht="15.75" thickBot="1" x14ac:dyDescent="0.3">
      <c r="D62" s="22" t="s">
        <v>66</v>
      </c>
      <c r="E62" s="89">
        <f>+E38+E61</f>
        <v>24122791024</v>
      </c>
      <c r="F62" s="90">
        <f>+F38+F61</f>
        <v>2157895023</v>
      </c>
      <c r="G62" s="54">
        <f>+G38+G61</f>
        <v>718900000</v>
      </c>
      <c r="H62" s="91">
        <f>+E62+F62+G62</f>
        <v>26999586047</v>
      </c>
      <c r="I62" s="52">
        <f t="shared" ref="I62:P62" si="20">+I38+I61</f>
        <v>19213700115</v>
      </c>
      <c r="J62" s="53">
        <f t="shared" si="20"/>
        <v>1667399885</v>
      </c>
      <c r="K62" s="54">
        <f t="shared" si="20"/>
        <v>718900000</v>
      </c>
      <c r="L62" s="91">
        <f t="shared" si="20"/>
        <v>21600000000</v>
      </c>
      <c r="M62" s="52">
        <f t="shared" si="20"/>
        <v>4909090909</v>
      </c>
      <c r="N62" s="53">
        <f t="shared" si="20"/>
        <v>490495138</v>
      </c>
      <c r="O62" s="71">
        <f t="shared" si="20"/>
        <v>5399586047.000001</v>
      </c>
      <c r="P62" s="97">
        <f t="shared" si="20"/>
        <v>26999586047</v>
      </c>
      <c r="Q62" s="73">
        <f t="shared" si="8"/>
        <v>19932600115</v>
      </c>
    </row>
    <row r="63" spans="2:20" x14ac:dyDescent="0.25">
      <c r="I63" s="6"/>
      <c r="J63" s="5"/>
      <c r="L63" s="31"/>
      <c r="S63" s="5">
        <f>+S61+S38</f>
        <v>24841691024</v>
      </c>
      <c r="T63" s="5">
        <f>+T61+T38</f>
        <v>2157895023</v>
      </c>
    </row>
    <row r="64" spans="2:20" x14ac:dyDescent="0.25">
      <c r="I64" s="5"/>
      <c r="J64" s="5"/>
      <c r="L64" s="5"/>
      <c r="M64" s="5"/>
      <c r="N64" s="5"/>
      <c r="O64" s="5"/>
    </row>
    <row r="65" spans="7:20" x14ac:dyDescent="0.25">
      <c r="I65" s="5"/>
      <c r="J65" s="5"/>
      <c r="L65" s="5"/>
      <c r="M65" s="5"/>
      <c r="N65" s="5"/>
      <c r="O65" s="5"/>
      <c r="T65" s="5">
        <f>+S63+T63</f>
        <v>26999586047</v>
      </c>
    </row>
    <row r="66" spans="7:20" x14ac:dyDescent="0.25">
      <c r="T66" s="5">
        <v>27000000000</v>
      </c>
    </row>
    <row r="67" spans="7:20" x14ac:dyDescent="0.25">
      <c r="T67" s="5">
        <f>+T66-T65</f>
        <v>413953</v>
      </c>
    </row>
    <row r="69" spans="7:20" x14ac:dyDescent="0.25">
      <c r="G69"/>
      <c r="K69"/>
    </row>
    <row r="70" spans="7:20" x14ac:dyDescent="0.25">
      <c r="G70"/>
      <c r="K70"/>
    </row>
    <row r="73" spans="7:20" x14ac:dyDescent="0.25">
      <c r="M73" s="5"/>
      <c r="N73" s="5"/>
      <c r="O73" s="5"/>
    </row>
    <row r="75" spans="7:20" x14ac:dyDescent="0.25">
      <c r="M75" s="20"/>
      <c r="N75" s="20"/>
      <c r="O75" s="20"/>
    </row>
  </sheetData>
  <mergeCells count="10">
    <mergeCell ref="B38:C38"/>
    <mergeCell ref="P9:P10"/>
    <mergeCell ref="P2:Q3"/>
    <mergeCell ref="E9:H9"/>
    <mergeCell ref="I9:L9"/>
    <mergeCell ref="I3:K3"/>
    <mergeCell ref="I2:K2"/>
    <mergeCell ref="L3:N3"/>
    <mergeCell ref="L2:N2"/>
    <mergeCell ref="M9:O9"/>
  </mergeCells>
  <pageMargins left="0.7" right="0.7" top="0.75" bottom="0.75" header="0.3" footer="0.3"/>
  <pageSetup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MYRIAM</dc:creator>
  <cp:lastModifiedBy>CARLOS ALBERTO PEREZ LOPEZ</cp:lastModifiedBy>
  <dcterms:created xsi:type="dcterms:W3CDTF">2025-11-10T20:49:46Z</dcterms:created>
  <dcterms:modified xsi:type="dcterms:W3CDTF">2026-01-30T14:35:12Z</dcterms:modified>
</cp:coreProperties>
</file>